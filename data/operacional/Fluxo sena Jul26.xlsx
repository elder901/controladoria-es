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NTABILIDADE\Reunião Mensal Controladoria\2026\07-julho\"/>
    </mc:Choice>
  </mc:AlternateContent>
  <xr:revisionPtr revIDLastSave="0" documentId="8_{7BBF21D0-CA89-4ED6-B886-D1D326642CEB}" xr6:coauthVersionLast="47" xr6:coauthVersionMax="47" xr10:uidLastSave="{00000000-0000-0000-0000-000000000000}"/>
  <bookViews>
    <workbookView xWindow="-120" yWindow="-120" windowWidth="20730" windowHeight="11040" activeTab="2" xr2:uid="{DFD88D18-17AB-4644-8525-C724446C075F}"/>
  </bookViews>
  <sheets>
    <sheet name="ANÁLISE" sheetId="2" r:id="rId1"/>
    <sheet name="COMPARATIVO" sheetId="3" r:id="rId2"/>
    <sheet name="MVTO" sheetId="1" r:id="rId3"/>
  </sheets>
  <definedNames>
    <definedName name="_xlnm._FilterDatabase" localSheetId="2" hidden="1">MVTO!$B$2:$R$72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3" l="1"/>
  <c r="O13" i="2"/>
  <c r="M13" i="2"/>
  <c r="M12" i="2"/>
  <c r="M14" i="2"/>
  <c r="G78" i="1"/>
  <c r="Y43" i="2"/>
  <c r="Y42" i="2"/>
  <c r="R76" i="1"/>
  <c r="H89" i="1"/>
  <c r="I89" i="1"/>
  <c r="I91" i="1" s="1"/>
  <c r="Y32" i="3"/>
  <c r="W32" i="3"/>
  <c r="U32" i="3"/>
  <c r="S32" i="3"/>
  <c r="Q32" i="3"/>
  <c r="O32" i="3"/>
  <c r="O30" i="3"/>
  <c r="M32" i="3"/>
  <c r="K32" i="3"/>
  <c r="I32" i="3"/>
  <c r="E38" i="3"/>
  <c r="E37" i="3"/>
  <c r="Y36" i="3"/>
  <c r="W36" i="3"/>
  <c r="U36" i="3"/>
  <c r="S36" i="3"/>
  <c r="Q36" i="3"/>
  <c r="O36" i="3"/>
  <c r="M36" i="3"/>
  <c r="K36" i="3"/>
  <c r="I36" i="3"/>
  <c r="G36" i="3"/>
  <c r="E36" i="3"/>
  <c r="C36" i="3"/>
  <c r="Y35" i="3"/>
  <c r="W35" i="3"/>
  <c r="U35" i="3"/>
  <c r="S35" i="3"/>
  <c r="Q35" i="3"/>
  <c r="O35" i="3"/>
  <c r="M35" i="3"/>
  <c r="K35" i="3"/>
  <c r="I35" i="3"/>
  <c r="G35" i="3"/>
  <c r="E35" i="3"/>
  <c r="C35" i="3"/>
  <c r="G32" i="3"/>
  <c r="E32" i="3"/>
  <c r="C32" i="3"/>
  <c r="E31" i="3"/>
  <c r="Y30" i="3"/>
  <c r="W30" i="3"/>
  <c r="U30" i="3"/>
  <c r="S30" i="3"/>
  <c r="Q30" i="3"/>
  <c r="M30" i="3"/>
  <c r="K30" i="3"/>
  <c r="I30" i="3"/>
  <c r="G30" i="3"/>
  <c r="E30" i="3"/>
  <c r="C30" i="3"/>
  <c r="E29" i="3"/>
  <c r="E27" i="3"/>
  <c r="E26" i="3"/>
  <c r="E24" i="3"/>
  <c r="E23" i="3"/>
  <c r="E22" i="3"/>
  <c r="Y21" i="3"/>
  <c r="W21" i="3"/>
  <c r="U21" i="3"/>
  <c r="S21" i="3"/>
  <c r="Q21" i="3"/>
  <c r="O21" i="3"/>
  <c r="M21" i="3"/>
  <c r="K21" i="3"/>
  <c r="I21" i="3"/>
  <c r="G21" i="3"/>
  <c r="E21" i="3"/>
  <c r="C21" i="3"/>
  <c r="E20" i="3"/>
  <c r="Y19" i="3"/>
  <c r="W19" i="3"/>
  <c r="U19" i="3"/>
  <c r="S19" i="3"/>
  <c r="Q19" i="3"/>
  <c r="O19" i="3"/>
  <c r="M19" i="3"/>
  <c r="K19" i="3"/>
  <c r="I19" i="3"/>
  <c r="G19" i="3"/>
  <c r="E19" i="3"/>
  <c r="C19" i="3"/>
  <c r="E16" i="3"/>
  <c r="E15" i="3"/>
  <c r="E11" i="3"/>
  <c r="E10" i="3"/>
  <c r="E9" i="3"/>
  <c r="E8" i="3"/>
  <c r="E7" i="3"/>
  <c r="Y11" i="3"/>
  <c r="X11" i="3"/>
  <c r="Z11" i="3"/>
  <c r="C32" i="2"/>
  <c r="R4" i="1" l="1"/>
  <c r="R5" i="1"/>
  <c r="R6" i="1"/>
  <c r="R7" i="1"/>
  <c r="AA11" i="3" s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AA21" i="3" s="1"/>
  <c r="R34" i="1"/>
  <c r="AA31" i="3" s="1"/>
  <c r="R35" i="1"/>
  <c r="R36" i="1"/>
  <c r="R37" i="1"/>
  <c r="R38" i="1"/>
  <c r="R39" i="1"/>
  <c r="R40" i="1"/>
  <c r="R41" i="1"/>
  <c r="R42" i="1"/>
  <c r="R43" i="1"/>
  <c r="R44" i="1"/>
  <c r="R45" i="1"/>
  <c r="R46" i="1"/>
  <c r="R48" i="1"/>
  <c r="R49" i="1"/>
  <c r="R50" i="1"/>
  <c r="R51" i="1"/>
  <c r="AA19" i="3" s="1"/>
  <c r="R52" i="1"/>
  <c r="R53" i="1"/>
  <c r="R54" i="1"/>
  <c r="R55" i="1"/>
  <c r="AA35" i="3" s="1"/>
  <c r="R56" i="1"/>
  <c r="AA36" i="3" s="1"/>
  <c r="R57" i="1"/>
  <c r="R58" i="1"/>
  <c r="R60" i="1"/>
  <c r="R61" i="1"/>
  <c r="R62" i="1"/>
  <c r="R63" i="1"/>
  <c r="R64" i="1"/>
  <c r="R65" i="1"/>
  <c r="R67" i="1"/>
  <c r="R68" i="1"/>
  <c r="R70" i="1"/>
  <c r="R71" i="1"/>
  <c r="R72" i="1"/>
  <c r="R3" i="1"/>
  <c r="U31" i="3"/>
  <c r="U32" i="2"/>
  <c r="O78" i="1"/>
  <c r="U26" i="3"/>
  <c r="O79" i="1"/>
  <c r="Q32" i="2"/>
  <c r="P32" i="2"/>
  <c r="L79" i="1"/>
  <c r="K79" i="1"/>
  <c r="K78" i="1"/>
  <c r="K80" i="1"/>
  <c r="J78" i="1"/>
  <c r="I15" i="3"/>
  <c r="S10" i="3"/>
  <c r="I80" i="1"/>
  <c r="I79" i="1"/>
  <c r="I15" i="2"/>
  <c r="I78" i="1"/>
  <c r="I27" i="3"/>
  <c r="I26" i="3"/>
  <c r="I22" i="3"/>
  <c r="I16" i="3"/>
  <c r="G15" i="3"/>
  <c r="I7" i="3"/>
  <c r="I12" i="3" s="1"/>
  <c r="I8" i="3"/>
  <c r="I9" i="3"/>
  <c r="I10" i="3"/>
  <c r="I11" i="3"/>
  <c r="I20" i="3"/>
  <c r="I23" i="3"/>
  <c r="I24" i="3"/>
  <c r="I29" i="3"/>
  <c r="I31" i="3"/>
  <c r="I37" i="3"/>
  <c r="I38" i="3"/>
  <c r="G7" i="3"/>
  <c r="G12" i="3" s="1"/>
  <c r="I32" i="2"/>
  <c r="H80" i="1"/>
  <c r="G80" i="1"/>
  <c r="F80" i="1"/>
  <c r="H79" i="1"/>
  <c r="G79" i="1"/>
  <c r="E32" i="2"/>
  <c r="G89" i="1"/>
  <c r="G91" i="1" s="1"/>
  <c r="G81" i="1" l="1"/>
  <c r="AA32" i="3"/>
  <c r="AA30" i="3"/>
  <c r="AA23" i="3"/>
  <c r="AA29" i="3"/>
  <c r="I81" i="1"/>
  <c r="K81" i="1"/>
  <c r="I34" i="3"/>
  <c r="I18" i="3"/>
  <c r="I13" i="3"/>
  <c r="I14" i="3" s="1"/>
  <c r="I17" i="3" s="1"/>
  <c r="F79" i="1"/>
  <c r="F78" i="1"/>
  <c r="I25" i="3" l="1"/>
  <c r="F81" i="1"/>
  <c r="C31" i="2"/>
  <c r="C27" i="3"/>
  <c r="G37" i="2"/>
  <c r="G23" i="2"/>
  <c r="J79" i="1"/>
  <c r="J80" i="1"/>
  <c r="W29" i="3"/>
  <c r="J81" i="1" l="1"/>
  <c r="I28" i="3"/>
  <c r="W16" i="2"/>
  <c r="W15" i="2"/>
  <c r="W30" i="2"/>
  <c r="W31" i="2"/>
  <c r="W32" i="2"/>
  <c r="W11" i="2"/>
  <c r="W23" i="3"/>
  <c r="U23" i="3"/>
  <c r="W31" i="3"/>
  <c r="W16" i="3"/>
  <c r="W11" i="3"/>
  <c r="U29" i="3"/>
  <c r="O89" i="1"/>
  <c r="O91" i="1" s="1"/>
  <c r="O80" i="1"/>
  <c r="O81" i="1" s="1"/>
  <c r="U11" i="2"/>
  <c r="S11" i="2"/>
  <c r="U31" i="2"/>
  <c r="U30" i="2"/>
  <c r="U23" i="2"/>
  <c r="U29" i="2"/>
  <c r="S31" i="2"/>
  <c r="U11" i="3"/>
  <c r="S11" i="3"/>
  <c r="N78" i="1"/>
  <c r="L78" i="1"/>
  <c r="M78" i="1"/>
  <c r="Q11" i="2"/>
  <c r="O11" i="2"/>
  <c r="M11" i="2"/>
  <c r="K11" i="2"/>
  <c r="I11" i="2"/>
  <c r="G11" i="2"/>
  <c r="E11" i="2"/>
  <c r="C11" i="2"/>
  <c r="Q11" i="3"/>
  <c r="O11" i="3"/>
  <c r="M11" i="3"/>
  <c r="K11" i="3"/>
  <c r="G11" i="3"/>
  <c r="C11" i="3"/>
  <c r="M79" i="1"/>
  <c r="K89" i="1"/>
  <c r="K91" i="1" s="1"/>
  <c r="F89" i="1"/>
  <c r="F91" i="1" s="1"/>
  <c r="P80" i="1"/>
  <c r="P79" i="1"/>
  <c r="Y38" i="3"/>
  <c r="Y37" i="3"/>
  <c r="W38" i="3"/>
  <c r="W37" i="3"/>
  <c r="Y31" i="3"/>
  <c r="Y29" i="3"/>
  <c r="Y27" i="3"/>
  <c r="Y26" i="3"/>
  <c r="Y24" i="3"/>
  <c r="Y23" i="3"/>
  <c r="Y22" i="3"/>
  <c r="Y20" i="3"/>
  <c r="Y16" i="3"/>
  <c r="Y15" i="3"/>
  <c r="Y10" i="3"/>
  <c r="Y9" i="3"/>
  <c r="Y8" i="3"/>
  <c r="Q89" i="1"/>
  <c r="Q91" i="1" s="1"/>
  <c r="W27" i="3"/>
  <c r="W26" i="3"/>
  <c r="W24" i="3"/>
  <c r="W22" i="3"/>
  <c r="W20" i="3"/>
  <c r="W15" i="3"/>
  <c r="W10" i="3"/>
  <c r="W9" i="3"/>
  <c r="W8" i="3"/>
  <c r="W43" i="2"/>
  <c r="Y45" i="2" s="1"/>
  <c r="W42" i="2"/>
  <c r="P89" i="1"/>
  <c r="P91" i="1" s="1"/>
  <c r="U24" i="3"/>
  <c r="U22" i="3"/>
  <c r="U16" i="3"/>
  <c r="U15" i="3"/>
  <c r="U10" i="3"/>
  <c r="U9" i="3"/>
  <c r="U8" i="3"/>
  <c r="S38" i="3"/>
  <c r="S31" i="3"/>
  <c r="S29" i="3"/>
  <c r="S27" i="3"/>
  <c r="S26" i="3"/>
  <c r="S24" i="3"/>
  <c r="S23" i="3"/>
  <c r="S22" i="3"/>
  <c r="S20" i="3"/>
  <c r="S16" i="3"/>
  <c r="S15" i="3"/>
  <c r="U20" i="3"/>
  <c r="U27" i="3"/>
  <c r="U38" i="3"/>
  <c r="U37" i="3"/>
  <c r="S37" i="3"/>
  <c r="U43" i="2"/>
  <c r="U42" i="2"/>
  <c r="Q37" i="3"/>
  <c r="Q38" i="3"/>
  <c r="S9" i="3"/>
  <c r="S8" i="3"/>
  <c r="S43" i="2"/>
  <c r="S42" i="2"/>
  <c r="Q42" i="2"/>
  <c r="N89" i="1"/>
  <c r="N91" i="1" s="1"/>
  <c r="I30" i="2"/>
  <c r="I7" i="2"/>
  <c r="I12" i="2" s="1"/>
  <c r="AA38" i="3"/>
  <c r="Q43" i="2"/>
  <c r="O43" i="2"/>
  <c r="M43" i="2"/>
  <c r="K43" i="2"/>
  <c r="I43" i="2"/>
  <c r="G43" i="2"/>
  <c r="AA43" i="2" s="1"/>
  <c r="E43" i="2"/>
  <c r="O42" i="2"/>
  <c r="M42" i="2"/>
  <c r="K42" i="2"/>
  <c r="I42" i="2"/>
  <c r="G42" i="2"/>
  <c r="E42" i="2"/>
  <c r="C43" i="2"/>
  <c r="C42" i="2"/>
  <c r="AA42" i="2" s="1"/>
  <c r="M89" i="1"/>
  <c r="M91" i="1" s="1"/>
  <c r="L89" i="1"/>
  <c r="L91" i="1" s="1"/>
  <c r="J89" i="1"/>
  <c r="J91" i="1" s="1"/>
  <c r="H91" i="1"/>
  <c r="Q26" i="3"/>
  <c r="Q26" i="2"/>
  <c r="Q31" i="3"/>
  <c r="Q16" i="3"/>
  <c r="Q15" i="3"/>
  <c r="Q29" i="3"/>
  <c r="Q27" i="3"/>
  <c r="Q24" i="3"/>
  <c r="Q23" i="3"/>
  <c r="Q22" i="3"/>
  <c r="Q20" i="3"/>
  <c r="Q8" i="3"/>
  <c r="Q9" i="3"/>
  <c r="Q10" i="3"/>
  <c r="G8" i="2"/>
  <c r="G9" i="2"/>
  <c r="G10" i="2"/>
  <c r="G7" i="2"/>
  <c r="G12" i="2" s="1"/>
  <c r="Q8" i="2"/>
  <c r="Q9" i="2"/>
  <c r="Q10" i="2"/>
  <c r="Q7" i="2"/>
  <c r="Q12" i="2" s="1"/>
  <c r="O8" i="2"/>
  <c r="O9" i="2"/>
  <c r="O10" i="2"/>
  <c r="O7" i="2"/>
  <c r="O12" i="2" s="1"/>
  <c r="M8" i="2"/>
  <c r="M9" i="2"/>
  <c r="M10" i="2"/>
  <c r="M7" i="2"/>
  <c r="K10" i="2"/>
  <c r="K9" i="2"/>
  <c r="K8" i="2"/>
  <c r="K7" i="2"/>
  <c r="K12" i="2" s="1"/>
  <c r="I8" i="2"/>
  <c r="I9" i="2"/>
  <c r="I10" i="2"/>
  <c r="E7" i="2"/>
  <c r="E12" i="2" s="1"/>
  <c r="E8" i="2"/>
  <c r="E9" i="2"/>
  <c r="E10" i="2"/>
  <c r="L80" i="1"/>
  <c r="O26" i="3"/>
  <c r="M26" i="3"/>
  <c r="O31" i="3"/>
  <c r="M31" i="3"/>
  <c r="K31" i="3"/>
  <c r="G31" i="3"/>
  <c r="C31" i="3"/>
  <c r="O23" i="3"/>
  <c r="M23" i="3"/>
  <c r="K23" i="3"/>
  <c r="G23" i="3"/>
  <c r="C23" i="3"/>
  <c r="E23" i="2"/>
  <c r="O38" i="3"/>
  <c r="O37" i="3"/>
  <c r="O29" i="3"/>
  <c r="O27" i="3"/>
  <c r="O24" i="3"/>
  <c r="O22" i="3"/>
  <c r="O20" i="3"/>
  <c r="M15" i="3"/>
  <c r="O8" i="3"/>
  <c r="M8" i="3"/>
  <c r="M7" i="3"/>
  <c r="M12" i="3" s="1"/>
  <c r="O10" i="3"/>
  <c r="O9" i="3"/>
  <c r="O16" i="3"/>
  <c r="O15" i="3"/>
  <c r="Y7" i="3"/>
  <c r="Y12" i="3" s="1"/>
  <c r="W7" i="3"/>
  <c r="W12" i="3" s="1"/>
  <c r="U7" i="3"/>
  <c r="U12" i="3" s="1"/>
  <c r="S7" i="3"/>
  <c r="S12" i="3" s="1"/>
  <c r="Q7" i="3"/>
  <c r="Q12" i="3" s="1"/>
  <c r="O7" i="3"/>
  <c r="O12" i="3" s="1"/>
  <c r="Y38" i="2"/>
  <c r="Y37" i="2"/>
  <c r="Y36" i="2"/>
  <c r="Y35" i="2"/>
  <c r="Y32" i="2"/>
  <c r="Y31" i="2"/>
  <c r="Y30" i="2"/>
  <c r="Y29" i="2"/>
  <c r="Y27" i="2"/>
  <c r="Y26" i="2"/>
  <c r="Y24" i="2"/>
  <c r="Y23" i="2"/>
  <c r="Y22" i="2"/>
  <c r="Y21" i="2"/>
  <c r="Y20" i="2"/>
  <c r="Y19" i="2"/>
  <c r="Y16" i="2"/>
  <c r="Y15" i="2"/>
  <c r="W38" i="2"/>
  <c r="W37" i="2"/>
  <c r="W36" i="2"/>
  <c r="W35" i="2"/>
  <c r="W29" i="2"/>
  <c r="W27" i="2"/>
  <c r="W26" i="2"/>
  <c r="W24" i="2"/>
  <c r="W23" i="2"/>
  <c r="W22" i="2"/>
  <c r="W21" i="2"/>
  <c r="W20" i="2"/>
  <c r="W19" i="2"/>
  <c r="U38" i="2"/>
  <c r="U37" i="2"/>
  <c r="U36" i="2"/>
  <c r="U35" i="2"/>
  <c r="U27" i="2"/>
  <c r="U26" i="2"/>
  <c r="U24" i="2"/>
  <c r="U22" i="2"/>
  <c r="U21" i="2"/>
  <c r="U20" i="2"/>
  <c r="U19" i="2"/>
  <c r="U16" i="2"/>
  <c r="U15" i="2"/>
  <c r="S38" i="2"/>
  <c r="S37" i="2"/>
  <c r="S36" i="2"/>
  <c r="S35" i="2"/>
  <c r="S32" i="2"/>
  <c r="S30" i="2"/>
  <c r="S29" i="2"/>
  <c r="S27" i="2"/>
  <c r="S26" i="2"/>
  <c r="S24" i="2"/>
  <c r="S23" i="2"/>
  <c r="S22" i="2"/>
  <c r="S21" i="2"/>
  <c r="S20" i="2"/>
  <c r="S19" i="2"/>
  <c r="S16" i="2"/>
  <c r="S15" i="2"/>
  <c r="Q38" i="2"/>
  <c r="Q37" i="2"/>
  <c r="Q36" i="2"/>
  <c r="Q35" i="2"/>
  <c r="Q31" i="2"/>
  <c r="Q30" i="2"/>
  <c r="Q29" i="2"/>
  <c r="Q27" i="2"/>
  <c r="Q24" i="2"/>
  <c r="Q23" i="2"/>
  <c r="Q22" i="2"/>
  <c r="Q21" i="2"/>
  <c r="Q20" i="2"/>
  <c r="Q19" i="2"/>
  <c r="Q16" i="2"/>
  <c r="Q15" i="2"/>
  <c r="M38" i="2"/>
  <c r="M37" i="2"/>
  <c r="M36" i="2"/>
  <c r="M35" i="2"/>
  <c r="M32" i="2"/>
  <c r="M31" i="2"/>
  <c r="M30" i="2"/>
  <c r="M29" i="2"/>
  <c r="M27" i="2"/>
  <c r="M26" i="2"/>
  <c r="M24" i="2"/>
  <c r="M23" i="2"/>
  <c r="M22" i="2"/>
  <c r="M21" i="2"/>
  <c r="M20" i="2"/>
  <c r="M19" i="2"/>
  <c r="M16" i="2"/>
  <c r="M15" i="2"/>
  <c r="O38" i="2"/>
  <c r="O37" i="2"/>
  <c r="O36" i="2"/>
  <c r="O35" i="2"/>
  <c r="O32" i="2"/>
  <c r="O31" i="2"/>
  <c r="O30" i="2"/>
  <c r="O29" i="2"/>
  <c r="O27" i="2"/>
  <c r="O26" i="2"/>
  <c r="O24" i="2"/>
  <c r="O23" i="2"/>
  <c r="O22" i="2"/>
  <c r="O21" i="2"/>
  <c r="O20" i="2"/>
  <c r="O19" i="2"/>
  <c r="O16" i="2"/>
  <c r="O15" i="2"/>
  <c r="E29" i="2"/>
  <c r="K30" i="2"/>
  <c r="G30" i="2"/>
  <c r="E30" i="2"/>
  <c r="C30" i="2"/>
  <c r="K23" i="2"/>
  <c r="I23" i="2"/>
  <c r="C23" i="2"/>
  <c r="C22" i="2"/>
  <c r="K31" i="2"/>
  <c r="I31" i="2"/>
  <c r="G31" i="2"/>
  <c r="E31" i="2"/>
  <c r="Q80" i="1"/>
  <c r="S7" i="2"/>
  <c r="S12" i="2" s="1"/>
  <c r="S8" i="2"/>
  <c r="S9" i="2"/>
  <c r="S10" i="2"/>
  <c r="Y10" i="2"/>
  <c r="Y9" i="2"/>
  <c r="Y8" i="2"/>
  <c r="Y7" i="2"/>
  <c r="Y12" i="2" s="1"/>
  <c r="W10" i="2"/>
  <c r="W9" i="2"/>
  <c r="W8" i="2"/>
  <c r="W7" i="2"/>
  <c r="W12" i="2" s="1"/>
  <c r="U10" i="2"/>
  <c r="U9" i="2"/>
  <c r="U8" i="2"/>
  <c r="U7" i="2"/>
  <c r="U12" i="2" s="1"/>
  <c r="K15" i="2"/>
  <c r="R91" i="1"/>
  <c r="N80" i="1"/>
  <c r="M80" i="1"/>
  <c r="Q78" i="1"/>
  <c r="P78" i="1"/>
  <c r="M38" i="3"/>
  <c r="K38" i="3"/>
  <c r="G38" i="3"/>
  <c r="C38" i="3"/>
  <c r="M37" i="3"/>
  <c r="K37" i="3"/>
  <c r="G37" i="3"/>
  <c r="C37" i="3"/>
  <c r="M29" i="3"/>
  <c r="K29" i="3"/>
  <c r="G29" i="3"/>
  <c r="C29" i="3"/>
  <c r="M27" i="3"/>
  <c r="K27" i="3"/>
  <c r="G27" i="3"/>
  <c r="K26" i="3"/>
  <c r="G26" i="3"/>
  <c r="C26" i="3"/>
  <c r="M24" i="3"/>
  <c r="K24" i="3"/>
  <c r="G24" i="3"/>
  <c r="C24" i="3"/>
  <c r="M22" i="3"/>
  <c r="K22" i="3"/>
  <c r="G22" i="3"/>
  <c r="C22" i="3"/>
  <c r="M20" i="3"/>
  <c r="K20" i="3"/>
  <c r="G20" i="3"/>
  <c r="C20" i="3"/>
  <c r="M16" i="3"/>
  <c r="K16" i="3"/>
  <c r="G16" i="3"/>
  <c r="C16" i="3"/>
  <c r="K15" i="3"/>
  <c r="C15" i="3"/>
  <c r="M10" i="3"/>
  <c r="K10" i="3"/>
  <c r="G10" i="3"/>
  <c r="C10" i="3"/>
  <c r="M9" i="3"/>
  <c r="K9" i="3"/>
  <c r="G9" i="3"/>
  <c r="C9" i="3"/>
  <c r="K8" i="3"/>
  <c r="G8" i="3"/>
  <c r="C8" i="3"/>
  <c r="K7" i="3"/>
  <c r="K12" i="3" s="1"/>
  <c r="C12" i="3"/>
  <c r="K38" i="2"/>
  <c r="K37" i="2"/>
  <c r="K36" i="2"/>
  <c r="K35" i="2"/>
  <c r="K32" i="2"/>
  <c r="K29" i="2"/>
  <c r="K27" i="2"/>
  <c r="K26" i="2"/>
  <c r="K24" i="2"/>
  <c r="K22" i="2"/>
  <c r="K21" i="2"/>
  <c r="K20" i="2"/>
  <c r="K19" i="2"/>
  <c r="K16" i="2"/>
  <c r="I38" i="2"/>
  <c r="I37" i="2"/>
  <c r="I36" i="2"/>
  <c r="I35" i="2"/>
  <c r="I29" i="2"/>
  <c r="I27" i="2"/>
  <c r="I26" i="2"/>
  <c r="I24" i="2"/>
  <c r="I22" i="2"/>
  <c r="I21" i="2"/>
  <c r="I20" i="2"/>
  <c r="I19" i="2"/>
  <c r="I16" i="2"/>
  <c r="G38" i="2"/>
  <c r="G36" i="2"/>
  <c r="G35" i="2"/>
  <c r="G32" i="2"/>
  <c r="G29" i="2"/>
  <c r="G27" i="2"/>
  <c r="G26" i="2"/>
  <c r="G24" i="2"/>
  <c r="G22" i="2"/>
  <c r="G21" i="2"/>
  <c r="G20" i="2"/>
  <c r="G19" i="2"/>
  <c r="G16" i="2"/>
  <c r="G15" i="2"/>
  <c r="E38" i="2"/>
  <c r="E37" i="2"/>
  <c r="E36" i="2"/>
  <c r="E35" i="2"/>
  <c r="E27" i="2"/>
  <c r="E26" i="2"/>
  <c r="E24" i="2"/>
  <c r="E22" i="2"/>
  <c r="E21" i="2"/>
  <c r="E20" i="2"/>
  <c r="E19" i="2"/>
  <c r="E16" i="2"/>
  <c r="E15" i="2"/>
  <c r="C38" i="2"/>
  <c r="C37" i="2"/>
  <c r="C36" i="2"/>
  <c r="C35" i="2"/>
  <c r="C29" i="2"/>
  <c r="C27" i="2"/>
  <c r="C26" i="2"/>
  <c r="C21" i="2"/>
  <c r="C24" i="2"/>
  <c r="C20" i="2"/>
  <c r="C19" i="2"/>
  <c r="C16" i="2"/>
  <c r="C15" i="2"/>
  <c r="C8" i="2"/>
  <c r="C9" i="2"/>
  <c r="C10" i="2"/>
  <c r="C7" i="2"/>
  <c r="C45" i="2" l="1"/>
  <c r="AA45" i="2"/>
  <c r="G45" i="2"/>
  <c r="AA31" i="2"/>
  <c r="AA30" i="2"/>
  <c r="G34" i="3"/>
  <c r="AA37" i="2"/>
  <c r="AA20" i="2"/>
  <c r="W45" i="2"/>
  <c r="E45" i="2"/>
  <c r="AA24" i="2"/>
  <c r="AA26" i="2"/>
  <c r="AA11" i="2"/>
  <c r="AA38" i="2"/>
  <c r="AA9" i="2"/>
  <c r="G13" i="3"/>
  <c r="G14" i="3" s="1"/>
  <c r="G17" i="3" s="1"/>
  <c r="AA8" i="2"/>
  <c r="AA27" i="2"/>
  <c r="G18" i="3"/>
  <c r="AA22" i="2"/>
  <c r="AA21" i="2"/>
  <c r="AA29" i="2"/>
  <c r="AA23" i="2"/>
  <c r="AA32" i="2"/>
  <c r="AA10" i="2"/>
  <c r="AA15" i="2"/>
  <c r="AA16" i="2"/>
  <c r="AA35" i="2"/>
  <c r="Y13" i="3"/>
  <c r="Y14" i="3" s="1"/>
  <c r="Y17" i="3" s="1"/>
  <c r="C12" i="2"/>
  <c r="D11" i="2" s="1"/>
  <c r="AA7" i="2"/>
  <c r="AA19" i="2"/>
  <c r="AA36" i="2"/>
  <c r="U34" i="3"/>
  <c r="U13" i="3"/>
  <c r="U14" i="3" s="1"/>
  <c r="U17" i="3" s="1"/>
  <c r="Q13" i="3"/>
  <c r="Q14" i="3" s="1"/>
  <c r="Q17" i="3" s="1"/>
  <c r="L81" i="1"/>
  <c r="O13" i="3"/>
  <c r="O14" i="3" s="1"/>
  <c r="O17" i="3" s="1"/>
  <c r="K13" i="2"/>
  <c r="K13" i="3"/>
  <c r="K14" i="3" s="1"/>
  <c r="K17" i="3" s="1"/>
  <c r="I33" i="3"/>
  <c r="W13" i="3"/>
  <c r="W14" i="3" s="1"/>
  <c r="W17" i="3" s="1"/>
  <c r="I13" i="2"/>
  <c r="I14" i="2" s="1"/>
  <c r="I17" i="2" s="1"/>
  <c r="M13" i="3"/>
  <c r="M14" i="3" s="1"/>
  <c r="M17" i="3" s="1"/>
  <c r="I18" i="2"/>
  <c r="I34" i="2"/>
  <c r="G13" i="2"/>
  <c r="S13" i="3"/>
  <c r="S14" i="3" s="1"/>
  <c r="S17" i="3" s="1"/>
  <c r="E13" i="2"/>
  <c r="E14" i="2" s="1"/>
  <c r="E13" i="3"/>
  <c r="E34" i="2"/>
  <c r="E18" i="3"/>
  <c r="C13" i="2"/>
  <c r="Y13" i="2"/>
  <c r="Y14" i="2" s="1"/>
  <c r="Y17" i="2" s="1"/>
  <c r="W13" i="2"/>
  <c r="S13" i="2"/>
  <c r="S14" i="2" s="1"/>
  <c r="S17" i="2" s="1"/>
  <c r="V11" i="2"/>
  <c r="T11" i="2"/>
  <c r="U13" i="2"/>
  <c r="U14" i="2" s="1"/>
  <c r="U18" i="3"/>
  <c r="O84" i="1"/>
  <c r="R11" i="2"/>
  <c r="J11" i="2"/>
  <c r="S34" i="3"/>
  <c r="M81" i="1"/>
  <c r="L11" i="2"/>
  <c r="P11" i="2"/>
  <c r="F11" i="2"/>
  <c r="Q13" i="2"/>
  <c r="Q14" i="2" s="1"/>
  <c r="Q17" i="2" s="1"/>
  <c r="N11" i="2"/>
  <c r="H11" i="2"/>
  <c r="P81" i="1"/>
  <c r="P84" i="1" s="1"/>
  <c r="Y34" i="3"/>
  <c r="W34" i="3"/>
  <c r="Y18" i="3"/>
  <c r="Q79" i="1"/>
  <c r="Q81" i="1" s="1"/>
  <c r="Q84" i="1" s="1"/>
  <c r="W18" i="3"/>
  <c r="Q18" i="3"/>
  <c r="S18" i="3"/>
  <c r="O34" i="3"/>
  <c r="L7" i="2"/>
  <c r="Q34" i="3"/>
  <c r="O18" i="3"/>
  <c r="M34" i="3"/>
  <c r="M18" i="3"/>
  <c r="AA7" i="3"/>
  <c r="AA12" i="3" s="1"/>
  <c r="X9" i="2"/>
  <c r="X8" i="2"/>
  <c r="X10" i="2"/>
  <c r="X7" i="2"/>
  <c r="V8" i="2"/>
  <c r="V9" i="2"/>
  <c r="V10" i="2"/>
  <c r="S34" i="2"/>
  <c r="T8" i="2"/>
  <c r="Q34" i="2"/>
  <c r="T7" i="2"/>
  <c r="V7" i="2"/>
  <c r="P9" i="2"/>
  <c r="P8" i="2"/>
  <c r="P7" i="2"/>
  <c r="R10" i="2"/>
  <c r="R9" i="2"/>
  <c r="R8" i="2"/>
  <c r="T9" i="2"/>
  <c r="S18" i="2"/>
  <c r="T10" i="2"/>
  <c r="N7" i="2"/>
  <c r="P10" i="2"/>
  <c r="N9" i="2"/>
  <c r="N10" i="2"/>
  <c r="J7" i="2"/>
  <c r="R7" i="2"/>
  <c r="Q18" i="2"/>
  <c r="O34" i="2"/>
  <c r="O18" i="2"/>
  <c r="N8" i="2"/>
  <c r="W34" i="2"/>
  <c r="Y18" i="2"/>
  <c r="U18" i="2"/>
  <c r="Y34" i="2"/>
  <c r="W18" i="2"/>
  <c r="U34" i="2"/>
  <c r="N79" i="1"/>
  <c r="N81" i="1" s="1"/>
  <c r="N84" i="1" s="1"/>
  <c r="K34" i="2"/>
  <c r="AA20" i="3"/>
  <c r="AA26" i="3"/>
  <c r="F8" i="2"/>
  <c r="AA24" i="3"/>
  <c r="AA27" i="3"/>
  <c r="K18" i="2"/>
  <c r="AA37" i="3"/>
  <c r="F9" i="2"/>
  <c r="AA10" i="3"/>
  <c r="AA9" i="3"/>
  <c r="AA8" i="3"/>
  <c r="AA22" i="3"/>
  <c r="C34" i="2"/>
  <c r="AA15" i="3"/>
  <c r="AA16" i="3"/>
  <c r="C18" i="3"/>
  <c r="C13" i="3"/>
  <c r="C14" i="3" s="1"/>
  <c r="K18" i="3"/>
  <c r="C34" i="3"/>
  <c r="K34" i="3"/>
  <c r="E34" i="3"/>
  <c r="E12" i="3"/>
  <c r="J8" i="2"/>
  <c r="L9" i="2"/>
  <c r="F10" i="2"/>
  <c r="H10" i="2"/>
  <c r="H8" i="2"/>
  <c r="L8" i="2"/>
  <c r="H9" i="2"/>
  <c r="L10" i="2"/>
  <c r="J9" i="2"/>
  <c r="F7" i="2"/>
  <c r="H7" i="2"/>
  <c r="M18" i="2"/>
  <c r="J10" i="2"/>
  <c r="G34" i="2"/>
  <c r="E18" i="2"/>
  <c r="M34" i="2"/>
  <c r="G18" i="2"/>
  <c r="C18" i="2"/>
  <c r="Z10" i="2" l="1"/>
  <c r="G25" i="3"/>
  <c r="G28" i="3" s="1"/>
  <c r="G33" i="3" s="1"/>
  <c r="G39" i="3" s="1"/>
  <c r="AA12" i="2"/>
  <c r="AB7" i="2" s="1"/>
  <c r="AA18" i="2"/>
  <c r="Z7" i="2"/>
  <c r="D8" i="2"/>
  <c r="AA18" i="3"/>
  <c r="C14" i="2"/>
  <c r="AA13" i="2"/>
  <c r="D10" i="2"/>
  <c r="D7" i="2"/>
  <c r="Z9" i="2"/>
  <c r="AA34" i="2"/>
  <c r="Z8" i="2"/>
  <c r="D9" i="2"/>
  <c r="AA13" i="3"/>
  <c r="AA14" i="3" s="1"/>
  <c r="AA17" i="3" s="1"/>
  <c r="I39" i="3"/>
  <c r="Q25" i="3"/>
  <c r="O25" i="3"/>
  <c r="O28" i="3" s="1"/>
  <c r="O33" i="3" s="1"/>
  <c r="P13" i="2"/>
  <c r="P12" i="2"/>
  <c r="I25" i="2"/>
  <c r="I28" i="2" s="1"/>
  <c r="I33" i="2" s="1"/>
  <c r="U25" i="3"/>
  <c r="U28" i="3" s="1"/>
  <c r="U33" i="3" s="1"/>
  <c r="U39" i="3" s="1"/>
  <c r="Y25" i="3"/>
  <c r="Y28" i="3" s="1"/>
  <c r="W25" i="3"/>
  <c r="S25" i="3"/>
  <c r="S28" i="3" s="1"/>
  <c r="M25" i="3"/>
  <c r="M28" i="3" s="1"/>
  <c r="M33" i="3" s="1"/>
  <c r="L23" i="2"/>
  <c r="J23" i="2"/>
  <c r="N23" i="2"/>
  <c r="P23" i="2"/>
  <c r="N34" i="2"/>
  <c r="N31" i="2"/>
  <c r="P27" i="2"/>
  <c r="L31" i="2"/>
  <c r="P31" i="2"/>
  <c r="J31" i="2"/>
  <c r="W14" i="2"/>
  <c r="W17" i="2" s="1"/>
  <c r="U17" i="2"/>
  <c r="U25" i="2" s="1"/>
  <c r="Y25" i="2"/>
  <c r="Y28" i="2" s="1"/>
  <c r="S25" i="2"/>
  <c r="O14" i="2"/>
  <c r="O17" i="2" s="1"/>
  <c r="P17" i="2" s="1"/>
  <c r="P34" i="2"/>
  <c r="P15" i="2"/>
  <c r="Q25" i="2"/>
  <c r="Q28" i="2" s="1"/>
  <c r="N22" i="2"/>
  <c r="P29" i="2"/>
  <c r="P30" i="2"/>
  <c r="N36" i="2"/>
  <c r="P38" i="2"/>
  <c r="N13" i="2"/>
  <c r="N16" i="2"/>
  <c r="N32" i="2"/>
  <c r="P35" i="2"/>
  <c r="N30" i="2"/>
  <c r="N24" i="2"/>
  <c r="N27" i="2"/>
  <c r="P37" i="2"/>
  <c r="P36" i="2"/>
  <c r="P19" i="2"/>
  <c r="P26" i="2"/>
  <c r="N12" i="2"/>
  <c r="P16" i="2"/>
  <c r="N21" i="2"/>
  <c r="P21" i="2"/>
  <c r="N38" i="2"/>
  <c r="P22" i="2"/>
  <c r="N37" i="2"/>
  <c r="P24" i="2"/>
  <c r="N19" i="2"/>
  <c r="P18" i="2"/>
  <c r="P20" i="2"/>
  <c r="N15" i="2"/>
  <c r="N35" i="2"/>
  <c r="N18" i="2"/>
  <c r="N29" i="2"/>
  <c r="N26" i="2"/>
  <c r="N20" i="2"/>
  <c r="AA34" i="3"/>
  <c r="K25" i="3"/>
  <c r="K28" i="3" s="1"/>
  <c r="K33" i="3" s="1"/>
  <c r="E14" i="3"/>
  <c r="E17" i="3" s="1"/>
  <c r="E25" i="3" s="1"/>
  <c r="C17" i="3"/>
  <c r="C25" i="3" s="1"/>
  <c r="L12" i="2"/>
  <c r="J30" i="2"/>
  <c r="L36" i="2"/>
  <c r="J20" i="2"/>
  <c r="J26" i="2"/>
  <c r="J38" i="2"/>
  <c r="J16" i="2"/>
  <c r="L20" i="2"/>
  <c r="J24" i="2"/>
  <c r="J29" i="2"/>
  <c r="J21" i="2"/>
  <c r="J27" i="2"/>
  <c r="J12" i="2"/>
  <c r="J19" i="2"/>
  <c r="J36" i="2"/>
  <c r="J18" i="2"/>
  <c r="J34" i="2"/>
  <c r="M17" i="2"/>
  <c r="N17" i="2" s="1"/>
  <c r="F23" i="2"/>
  <c r="J17" i="2"/>
  <c r="L32" i="2"/>
  <c r="L21" i="2"/>
  <c r="J15" i="2"/>
  <c r="J32" i="2"/>
  <c r="L34" i="2"/>
  <c r="L24" i="2"/>
  <c r="L15" i="2"/>
  <c r="L22" i="2"/>
  <c r="K14" i="2"/>
  <c r="K17" i="2" s="1"/>
  <c r="L17" i="2" s="1"/>
  <c r="L13" i="2"/>
  <c r="L38" i="2"/>
  <c r="L37" i="2"/>
  <c r="J22" i="2"/>
  <c r="L35" i="2"/>
  <c r="L30" i="2"/>
  <c r="L29" i="2"/>
  <c r="J13" i="2"/>
  <c r="L26" i="2"/>
  <c r="L18" i="2"/>
  <c r="J37" i="2"/>
  <c r="L27" i="2"/>
  <c r="J35" i="2"/>
  <c r="L19" i="2"/>
  <c r="L16" i="2"/>
  <c r="G14" i="2"/>
  <c r="R32" i="2" l="1"/>
  <c r="T32" i="2"/>
  <c r="R31" i="2"/>
  <c r="T31" i="2"/>
  <c r="Y33" i="3"/>
  <c r="Y39" i="3" s="1"/>
  <c r="D32" i="2"/>
  <c r="AA14" i="2"/>
  <c r="AA25" i="3"/>
  <c r="P14" i="2"/>
  <c r="T29" i="2"/>
  <c r="T30" i="2"/>
  <c r="S33" i="3"/>
  <c r="S39" i="3" s="1"/>
  <c r="V30" i="2"/>
  <c r="V31" i="2"/>
  <c r="T23" i="2"/>
  <c r="V32" i="2"/>
  <c r="N14" i="2"/>
  <c r="W28" i="3"/>
  <c r="W33" i="3" s="1"/>
  <c r="W39" i="3" s="1"/>
  <c r="O39" i="3"/>
  <c r="Z23" i="2"/>
  <c r="D23" i="2"/>
  <c r="H23" i="2"/>
  <c r="X23" i="2"/>
  <c r="V23" i="2"/>
  <c r="R23" i="2"/>
  <c r="Y33" i="2"/>
  <c r="Y39" i="2" s="1"/>
  <c r="X13" i="2"/>
  <c r="X31" i="2"/>
  <c r="H31" i="2"/>
  <c r="Z31" i="2"/>
  <c r="D31" i="2"/>
  <c r="F13" i="2"/>
  <c r="F31" i="2"/>
  <c r="O25" i="2"/>
  <c r="P25" i="2" s="1"/>
  <c r="X12" i="2"/>
  <c r="X16" i="2"/>
  <c r="X27" i="2"/>
  <c r="X36" i="2"/>
  <c r="X30" i="2"/>
  <c r="X19" i="2"/>
  <c r="X20" i="2"/>
  <c r="X37" i="2"/>
  <c r="X32" i="2"/>
  <c r="X15" i="2"/>
  <c r="X26" i="2"/>
  <c r="X21" i="2"/>
  <c r="X38" i="2"/>
  <c r="X22" i="2"/>
  <c r="X24" i="2"/>
  <c r="X35" i="2"/>
  <c r="X29" i="2"/>
  <c r="V17" i="2"/>
  <c r="X34" i="2"/>
  <c r="W25" i="2"/>
  <c r="X17" i="2"/>
  <c r="X18" i="2"/>
  <c r="R18" i="2"/>
  <c r="V12" i="2"/>
  <c r="V29" i="2"/>
  <c r="V22" i="2"/>
  <c r="V27" i="2"/>
  <c r="V24" i="2"/>
  <c r="V16" i="2"/>
  <c r="V15" i="2"/>
  <c r="V26" i="2"/>
  <c r="V21" i="2"/>
  <c r="V35" i="2"/>
  <c r="V36" i="2"/>
  <c r="V37" i="2"/>
  <c r="V19" i="2"/>
  <c r="V20" i="2"/>
  <c r="V38" i="2"/>
  <c r="V18" i="2"/>
  <c r="V13" i="2"/>
  <c r="V34" i="2"/>
  <c r="T18" i="2"/>
  <c r="T20" i="2"/>
  <c r="T35" i="2"/>
  <c r="T12" i="2"/>
  <c r="T38" i="2"/>
  <c r="T22" i="2"/>
  <c r="T36" i="2"/>
  <c r="T26" i="2"/>
  <c r="T24" i="2"/>
  <c r="T16" i="2"/>
  <c r="T34" i="2"/>
  <c r="T15" i="2"/>
  <c r="T27" i="2"/>
  <c r="T37" i="2"/>
  <c r="T21" i="2"/>
  <c r="T19" i="2"/>
  <c r="T13" i="2"/>
  <c r="R13" i="2"/>
  <c r="S28" i="2"/>
  <c r="S33" i="2" s="1"/>
  <c r="T25" i="2"/>
  <c r="T17" i="2"/>
  <c r="H34" i="2"/>
  <c r="R24" i="2"/>
  <c r="R12" i="2"/>
  <c r="R35" i="2"/>
  <c r="R37" i="2"/>
  <c r="R36" i="2"/>
  <c r="R30" i="2"/>
  <c r="R19" i="2"/>
  <c r="R29" i="2"/>
  <c r="R15" i="2"/>
  <c r="R26" i="2"/>
  <c r="R22" i="2"/>
  <c r="R27" i="2"/>
  <c r="R34" i="2"/>
  <c r="R20" i="2"/>
  <c r="R16" i="2"/>
  <c r="R38" i="2"/>
  <c r="R21" i="2"/>
  <c r="Q33" i="2"/>
  <c r="Q39" i="2" s="1"/>
  <c r="M84" i="1" s="1"/>
  <c r="R25" i="2"/>
  <c r="R17" i="2"/>
  <c r="J14" i="2"/>
  <c r="H13" i="2"/>
  <c r="H18" i="2"/>
  <c r="Q28" i="3"/>
  <c r="Q33" i="3" s="1"/>
  <c r="Q39" i="3" s="1"/>
  <c r="C28" i="3"/>
  <c r="C33" i="3" s="1"/>
  <c r="K39" i="3"/>
  <c r="L14" i="2"/>
  <c r="M25" i="2"/>
  <c r="N25" i="2" s="1"/>
  <c r="F34" i="2"/>
  <c r="Z25" i="2"/>
  <c r="AB10" i="2"/>
  <c r="AB8" i="2"/>
  <c r="AB9" i="2"/>
  <c r="F18" i="2"/>
  <c r="K25" i="2"/>
  <c r="L25" i="2" s="1"/>
  <c r="E17" i="2"/>
  <c r="F35" i="2"/>
  <c r="F16" i="2"/>
  <c r="F22" i="2"/>
  <c r="F27" i="2"/>
  <c r="F29" i="2"/>
  <c r="F32" i="2"/>
  <c r="F19" i="2"/>
  <c r="F20" i="2"/>
  <c r="F12" i="2"/>
  <c r="F30" i="2"/>
  <c r="F26" i="2"/>
  <c r="F15" i="2"/>
  <c r="F21" i="2"/>
  <c r="F24" i="2"/>
  <c r="F38" i="2"/>
  <c r="F37" i="2"/>
  <c r="F36" i="2"/>
  <c r="C17" i="2"/>
  <c r="Z20" i="2"/>
  <c r="Z32" i="2"/>
  <c r="Z27" i="2"/>
  <c r="Z37" i="2"/>
  <c r="D35" i="2"/>
  <c r="Z15" i="2"/>
  <c r="Z22" i="2"/>
  <c r="Z30" i="2"/>
  <c r="Z12" i="2"/>
  <c r="Z16" i="2"/>
  <c r="Z24" i="2"/>
  <c r="D37" i="2"/>
  <c r="Z13" i="2"/>
  <c r="Z26" i="2"/>
  <c r="Z36" i="2"/>
  <c r="Z21" i="2"/>
  <c r="Z34" i="2"/>
  <c r="D24" i="2"/>
  <c r="D12" i="2"/>
  <c r="D21" i="2"/>
  <c r="Z29" i="2"/>
  <c r="Z35" i="2"/>
  <c r="Z38" i="2"/>
  <c r="D22" i="2"/>
  <c r="Z19" i="2"/>
  <c r="D26" i="2"/>
  <c r="D38" i="2"/>
  <c r="D15" i="2"/>
  <c r="D34" i="2"/>
  <c r="D30" i="2"/>
  <c r="D36" i="2"/>
  <c r="D27" i="2"/>
  <c r="D19" i="2"/>
  <c r="D16" i="2"/>
  <c r="D29" i="2"/>
  <c r="Z17" i="2"/>
  <c r="Z18" i="2"/>
  <c r="D20" i="2"/>
  <c r="D18" i="2"/>
  <c r="G17" i="2"/>
  <c r="H17" i="2" s="1"/>
  <c r="H30" i="2"/>
  <c r="H15" i="2"/>
  <c r="H12" i="2"/>
  <c r="H36" i="2"/>
  <c r="H37" i="2"/>
  <c r="H19" i="2"/>
  <c r="H32" i="2"/>
  <c r="H16" i="2"/>
  <c r="H29" i="2"/>
  <c r="H35" i="2"/>
  <c r="H26" i="2"/>
  <c r="H22" i="2"/>
  <c r="H24" i="2"/>
  <c r="H38" i="2"/>
  <c r="H27" i="2"/>
  <c r="H20" i="2"/>
  <c r="H21" i="2"/>
  <c r="D13" i="2"/>
  <c r="AA17" i="2" l="1"/>
  <c r="C25" i="2"/>
  <c r="Z33" i="2"/>
  <c r="J25" i="2"/>
  <c r="I39" i="2"/>
  <c r="I84" i="1" s="1"/>
  <c r="F14" i="2"/>
  <c r="X14" i="2"/>
  <c r="O28" i="2"/>
  <c r="O33" i="2" s="1"/>
  <c r="O39" i="2" s="1"/>
  <c r="L84" i="1" s="1"/>
  <c r="AB31" i="2"/>
  <c r="AB23" i="2"/>
  <c r="W28" i="2"/>
  <c r="W33" i="2" s="1"/>
  <c r="X25" i="2"/>
  <c r="U28" i="2"/>
  <c r="U33" i="2" s="1"/>
  <c r="V25" i="2"/>
  <c r="V14" i="2"/>
  <c r="S39" i="2"/>
  <c r="T33" i="2"/>
  <c r="T14" i="2"/>
  <c r="R14" i="2"/>
  <c r="R33" i="2"/>
  <c r="H14" i="2"/>
  <c r="Z14" i="2"/>
  <c r="M28" i="2"/>
  <c r="K28" i="2"/>
  <c r="D14" i="2"/>
  <c r="F17" i="2"/>
  <c r="E25" i="2"/>
  <c r="AB22" i="2"/>
  <c r="AB36" i="2"/>
  <c r="AB27" i="2"/>
  <c r="AB35" i="2"/>
  <c r="AB15" i="2"/>
  <c r="AB16" i="2"/>
  <c r="AB21" i="2"/>
  <c r="AB38" i="2"/>
  <c r="AB32" i="2"/>
  <c r="AB30" i="2"/>
  <c r="AB20" i="2"/>
  <c r="AB29" i="2"/>
  <c r="AB26" i="2"/>
  <c r="AB19" i="2"/>
  <c r="AB24" i="2"/>
  <c r="AB37" i="2"/>
  <c r="AB13" i="2"/>
  <c r="AB18" i="2"/>
  <c r="AB34" i="2"/>
  <c r="G25" i="2"/>
  <c r="H25" i="2" s="1"/>
  <c r="AB12" i="2"/>
  <c r="D17" i="2"/>
  <c r="AA25" i="2" l="1"/>
  <c r="C28" i="2"/>
  <c r="K33" i="2"/>
  <c r="L33" i="2" s="1"/>
  <c r="J33" i="2"/>
  <c r="P33" i="2"/>
  <c r="M33" i="2"/>
  <c r="N33" i="2" s="1"/>
  <c r="X33" i="2"/>
  <c r="W39" i="2"/>
  <c r="U39" i="2"/>
  <c r="V33" i="2"/>
  <c r="E28" i="3"/>
  <c r="E33" i="3" s="1"/>
  <c r="E39" i="3" s="1"/>
  <c r="C39" i="3"/>
  <c r="AA28" i="3"/>
  <c r="AA33" i="3" s="1"/>
  <c r="G28" i="2"/>
  <c r="AB17" i="2"/>
  <c r="D25" i="2"/>
  <c r="AB14" i="2"/>
  <c r="F25" i="2"/>
  <c r="E28" i="2"/>
  <c r="C33" i="2" l="1"/>
  <c r="D33" i="2" s="1"/>
  <c r="AA28" i="2"/>
  <c r="E33" i="2"/>
  <c r="E39" i="2" s="1"/>
  <c r="G84" i="1" s="1"/>
  <c r="K39" i="2"/>
  <c r="G33" i="2"/>
  <c r="M39" i="2"/>
  <c r="AA39" i="3"/>
  <c r="M39" i="3"/>
  <c r="AB25" i="2"/>
  <c r="C39" i="2" l="1"/>
  <c r="F84" i="1" s="1"/>
  <c r="AA33" i="2"/>
  <c r="AB33" i="2" s="1"/>
  <c r="H33" i="2"/>
  <c r="G39" i="2"/>
  <c r="F33" i="2"/>
  <c r="AA39" i="2" l="1"/>
  <c r="J84" i="1"/>
  <c r="H78" i="1"/>
  <c r="H84" i="1" s="1"/>
  <c r="H81" i="1" l="1"/>
</calcChain>
</file>

<file path=xl/sharedStrings.xml><?xml version="1.0" encoding="utf-8"?>
<sst xmlns="http://schemas.openxmlformats.org/spreadsheetml/2006/main" count="400" uniqueCount="179">
  <si>
    <t>Conta</t>
  </si>
  <si>
    <t>Descrição Contrapartida</t>
  </si>
  <si>
    <t>Clientes a Receber</t>
  </si>
  <si>
    <t>Adiantamento de Clientes</t>
  </si>
  <si>
    <t>Receitas Eventuais</t>
  </si>
  <si>
    <t>Faturas a Pagar</t>
  </si>
  <si>
    <t>PIS a Recolher</t>
  </si>
  <si>
    <t>COFINS a Recolher</t>
  </si>
  <si>
    <t>IRPJ a Pagar</t>
  </si>
  <si>
    <t>CSLL a Pagar</t>
  </si>
  <si>
    <t>IPTU a Pagar</t>
  </si>
  <si>
    <t>Fornecedores Tributários a Recolher</t>
  </si>
  <si>
    <t>Aluguéis a Pagar</t>
  </si>
  <si>
    <t>Banco Tribanco</t>
  </si>
  <si>
    <t>Juros Pagos</t>
  </si>
  <si>
    <t>Descontos Concedidos</t>
  </si>
  <si>
    <t>Tarifas Bancárias</t>
  </si>
  <si>
    <t>ENTRADA</t>
  </si>
  <si>
    <t>SAÍDA</t>
  </si>
  <si>
    <t>Saldo Final</t>
  </si>
  <si>
    <t>Saldo Inicial</t>
  </si>
  <si>
    <t>Variação de Saldos</t>
  </si>
  <si>
    <t>Entradas</t>
  </si>
  <si>
    <t>Saída</t>
  </si>
  <si>
    <t>Variação Movimento</t>
  </si>
  <si>
    <t>Mvto</t>
  </si>
  <si>
    <t>Rubrica</t>
  </si>
  <si>
    <t>Tributário</t>
  </si>
  <si>
    <t>Imp_Receita</t>
  </si>
  <si>
    <t>Imp_IR</t>
  </si>
  <si>
    <t>Aluguel</t>
  </si>
  <si>
    <t>Sócio_Diego</t>
  </si>
  <si>
    <t>Sócio_Thiago</t>
  </si>
  <si>
    <t>Empréstimo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</si>
  <si>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</si>
  <si>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</si>
  <si>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</si>
  <si>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</si>
  <si>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</si>
  <si>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</si>
  <si>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</si>
  <si>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</si>
  <si>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</si>
  <si>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</si>
  <si>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</si>
  <si>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</si>
  <si>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</si>
  <si>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Ligadas_E</t>
  </si>
  <si>
    <t>Desp_Fin</t>
  </si>
  <si>
    <t>Rec_Fin</t>
  </si>
  <si>
    <t>Cheques Pré Datados Para Pagamentos</t>
  </si>
  <si>
    <t>Perdas c/ Créditos Liquidações Duvidosas</t>
  </si>
  <si>
    <t>Sócio_Pátricia</t>
  </si>
  <si>
    <t>Sócio_Tubertino</t>
  </si>
  <si>
    <t>Fornecedores de Serviços</t>
  </si>
  <si>
    <t>Adiantamentos a Funcionários</t>
  </si>
  <si>
    <t>Encargos Sociais - INSS</t>
  </si>
  <si>
    <t>Salários e Ordenados</t>
  </si>
  <si>
    <t>INSS a Recolher</t>
  </si>
  <si>
    <t>FGTS a Pagar</t>
  </si>
  <si>
    <t>Cliente_C</t>
  </si>
  <si>
    <t>Cliente_01</t>
  </si>
  <si>
    <t>Cliente_02</t>
  </si>
  <si>
    <t>Cliente_03</t>
  </si>
  <si>
    <t>Dep_Judicial</t>
  </si>
  <si>
    <t>Pessoal</t>
  </si>
  <si>
    <t>Água</t>
  </si>
  <si>
    <t>Prestação de Serviço - Clientes</t>
  </si>
  <si>
    <t>Prestação de Serviço - Und 01</t>
  </si>
  <si>
    <t>Prestação de Serviço - Und 02</t>
  </si>
  <si>
    <t>Prestação de Serviço - Und 03</t>
  </si>
  <si>
    <t>R$</t>
  </si>
  <si>
    <t>%</t>
  </si>
  <si>
    <t>Serviços - Clientes</t>
  </si>
  <si>
    <t>Total Receitas Serviços</t>
  </si>
  <si>
    <t>Serviços - TJ</t>
  </si>
  <si>
    <t>Lucro Bruto</t>
  </si>
  <si>
    <t>Impostos S/ Serviços</t>
  </si>
  <si>
    <t>Rec_Despesa</t>
  </si>
  <si>
    <t>Recuperação de Despesas</t>
  </si>
  <si>
    <t>Custos operacionais</t>
  </si>
  <si>
    <t>Alugueis</t>
  </si>
  <si>
    <t>Tributos</t>
  </si>
  <si>
    <t>Ligadas_S</t>
  </si>
  <si>
    <t>Lucro das operações</t>
  </si>
  <si>
    <t>Resultado Financeiro</t>
  </si>
  <si>
    <t>I.R</t>
  </si>
  <si>
    <t>Lucro líquido</t>
  </si>
  <si>
    <t>Água e Esgotos</t>
  </si>
  <si>
    <t>Depósito Judicial</t>
  </si>
  <si>
    <t>Envio a Ligadas</t>
  </si>
  <si>
    <t>Total de Sócios</t>
  </si>
  <si>
    <t>CAIXA</t>
  </si>
  <si>
    <t>ECONÔMICO</t>
  </si>
  <si>
    <t>DEMONSTRAÇÃO CAIXA / ECONÔMICO</t>
  </si>
  <si>
    <t xml:space="preserve">Resultado </t>
  </si>
  <si>
    <t>Resultado Final</t>
  </si>
  <si>
    <t>RESULTADO ANO</t>
  </si>
  <si>
    <t>Verbas Rescisórias a Pagar</t>
  </si>
  <si>
    <t>Multas Trabalhistas - GRRF</t>
  </si>
  <si>
    <t>Vale - Cesta Alimentação</t>
  </si>
  <si>
    <t>Depósitos Judiciais - LP</t>
  </si>
  <si>
    <t>Juros Recebidos</t>
  </si>
  <si>
    <t>Participações em Outras Sociedades</t>
  </si>
  <si>
    <t>Descontos Obtidos</t>
  </si>
  <si>
    <t>Obrigações por Aquisição de Imobilizado</t>
  </si>
  <si>
    <t>Desp_imovel</t>
  </si>
  <si>
    <t>Fornecedores de Consumo</t>
  </si>
  <si>
    <t>Imobilizado</t>
  </si>
  <si>
    <t>Invest/imobilizado</t>
  </si>
  <si>
    <t>Manutenção Imóvel</t>
  </si>
  <si>
    <t>Rendimentos de Aplicação Financeira</t>
  </si>
  <si>
    <t>IRRF a Compensar</t>
  </si>
  <si>
    <t>IOF</t>
  </si>
  <si>
    <t>Prejuízos Diversos</t>
  </si>
  <si>
    <t>Clientes a Receber 01</t>
  </si>
  <si>
    <t>Clientes a Receber 02</t>
  </si>
  <si>
    <t>Clientes a Receber 03</t>
  </si>
  <si>
    <t>111609-Aplicação</t>
  </si>
  <si>
    <t>111319  -Aracredi</t>
  </si>
  <si>
    <t>111311 - Aracoop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</si>
  <si>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</si>
  <si>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</si>
  <si>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</si>
  <si>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</si>
  <si>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</si>
  <si>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</si>
  <si>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</si>
  <si>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</si>
  <si>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</si>
  <si>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</si>
  <si>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</si>
  <si>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</si>
  <si>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SALDO P/ BANCO</t>
  </si>
  <si>
    <t xml:space="preserve">DEMONST. FINANCEIRA </t>
  </si>
  <si>
    <t>Aluguel - Und 01</t>
  </si>
  <si>
    <t>Aluguel - Clientes</t>
  </si>
  <si>
    <t>Aluguel - Und 02</t>
  </si>
  <si>
    <t>Aluguel - Und 03</t>
  </si>
  <si>
    <t>Rec de Despesas</t>
  </si>
  <si>
    <t>Resultado  Caixa 1</t>
  </si>
  <si>
    <t>Var Final Caixa</t>
  </si>
  <si>
    <t>SALDO INICIAL</t>
  </si>
  <si>
    <t>SALDO FINAL</t>
  </si>
  <si>
    <t>Distribuição de Lucro Sócios Diego</t>
  </si>
  <si>
    <t>Distribuição de Lucro Sócios Thiago</t>
  </si>
  <si>
    <t>Distribuição de Lucro Sócios Patricia</t>
  </si>
  <si>
    <t>Distribuição de Lucro Sócios Tubertino</t>
  </si>
  <si>
    <t>Clientes a Receber 04</t>
  </si>
  <si>
    <t>Cliente_04</t>
  </si>
  <si>
    <t>Prestação de Serviço - Und 04</t>
  </si>
  <si>
    <t>Aluguel - Und 04</t>
  </si>
  <si>
    <t>IPVA a Pagar</t>
  </si>
  <si>
    <t>Banco Safra</t>
  </si>
  <si>
    <t>Juros Sobre Empréstimos e Financiamentos</t>
  </si>
  <si>
    <t>Receitas de alugueis a apropriar</t>
  </si>
  <si>
    <t>Receita de Alugueis</t>
  </si>
  <si>
    <t>( - ) Juros a transcorrer Safra</t>
  </si>
  <si>
    <t>Transitoria</t>
  </si>
  <si>
    <t>Capital de Giro</t>
  </si>
  <si>
    <t>PgtoEmpréstimos</t>
  </si>
  <si>
    <t>Adiantamentos a Fornecedores</t>
  </si>
  <si>
    <t>Entrada de Recursos</t>
  </si>
  <si>
    <t>( - ) Juros a transcorrer Aracoop</t>
  </si>
  <si>
    <t>Banco Aracoop</t>
  </si>
  <si>
    <t>Acordos Comerciais a Apropriar</t>
  </si>
  <si>
    <t>Adiantamento a Fornecedor</t>
  </si>
  <si>
    <t>Recursos_E</t>
  </si>
  <si>
    <t>Adiantamento de Clientes- analitico</t>
  </si>
  <si>
    <t xml:space="preserve">v </t>
  </si>
  <si>
    <t>tejotão deve tubertino</t>
  </si>
  <si>
    <t>saldo devedor Sena</t>
  </si>
  <si>
    <t>Outras Contas a Pagar - NN</t>
  </si>
  <si>
    <t>SENA 2026</t>
  </si>
  <si>
    <t>Fretes e Carretos a Pagar</t>
  </si>
  <si>
    <t>Tarifa s/ Cobrança</t>
  </si>
  <si>
    <t>Pis/Cofins/Csll a Recolher</t>
  </si>
  <si>
    <t>ICMS a Recolher</t>
  </si>
  <si>
    <t>Outras Contas a Receber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</si>
</sst>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;[Red]#,##0.00"/>
    <numFmt numFmtId="165" formatCode="#,##0_ ;[Red]\-#,##0\ "/>
    <numFmt numFmtId="166" formatCode="###,###,##0.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FFFF"/>
      <name val="Quattrocento Sans"/>
      <family val="2"/>
    </font>
    <font>
      <i/>
      <sz val="11"/>
      <color rgb="FF7F7F7F"/>
      <name val="Calibri"/>
      <family val="2"/>
    </font>
    <font>
      <b/>
      <sz val="12"/>
      <color rgb="FFFFFFFF"/>
      <name val="Georgia"/>
      <family val="1"/>
    </font>
    <font>
      <b/>
      <sz val="10"/>
      <color rgb="FFFFFFFF"/>
      <name val="Georgia"/>
      <family val="1"/>
    </font>
    <font>
      <b/>
      <sz val="11"/>
      <color theme="0"/>
      <name val="Georgia"/>
      <family val="1"/>
    </font>
    <font>
      <b/>
      <sz val="11"/>
      <color rgb="FFFFFFFF"/>
      <name val="Georgia"/>
      <family val="1"/>
    </font>
    <font>
      <sz val="10"/>
      <color rgb="FFFFFFFF"/>
      <name val="Calibri Light"/>
      <family val="2"/>
      <scheme val="major"/>
    </font>
    <font>
      <b/>
      <sz val="10"/>
      <color rgb="FFFFFFFF"/>
      <name val="Quattrocento Sans"/>
      <family val="2"/>
    </font>
    <font>
      <b/>
      <sz val="10"/>
      <color rgb="FF414141"/>
      <name val="Quattrocento Sans"/>
      <family val="2"/>
    </font>
    <font>
      <b/>
      <sz val="9"/>
      <color rgb="FF414141"/>
      <name val="Arial Black"/>
      <family val="2"/>
    </font>
    <font>
      <b/>
      <sz val="10"/>
      <color theme="0"/>
      <name val="Calibri Light"/>
      <family val="2"/>
      <scheme val="major"/>
    </font>
    <font>
      <sz val="11"/>
      <color rgb="FFFFFFFF"/>
      <name val="Calibri"/>
      <family val="2"/>
    </font>
    <font>
      <sz val="10"/>
      <color theme="0"/>
      <name val="Abel"/>
    </font>
    <font>
      <sz val="10"/>
      <color rgb="FFFFFFFF"/>
      <name val="Abel"/>
    </font>
    <font>
      <b/>
      <sz val="10"/>
      <color rgb="FFFFFFFF"/>
      <name val="Abel"/>
    </font>
    <font>
      <b/>
      <sz val="10"/>
      <color rgb="FF414141"/>
      <name val="Abel"/>
    </font>
    <font>
      <b/>
      <sz val="9"/>
      <color rgb="FFFFFFFF"/>
      <name val="Abel"/>
    </font>
    <font>
      <sz val="9"/>
      <color theme="0"/>
      <name val="Abel"/>
    </font>
    <font>
      <b/>
      <sz val="9"/>
      <color rgb="FF414141"/>
      <name val="Abel"/>
    </font>
    <font>
      <b/>
      <sz val="14"/>
      <color theme="0"/>
      <name val="Georgia"/>
      <family val="1"/>
    </font>
    <font>
      <b/>
      <sz val="8"/>
      <color rgb="FFFFFFFF"/>
      <name val="Georgia"/>
      <family val="1"/>
    </font>
    <font>
      <b/>
      <sz val="10"/>
      <color theme="0"/>
      <name val="Georgia"/>
      <family val="1"/>
    </font>
    <font>
      <b/>
      <sz val="10"/>
      <name val="Abel"/>
    </font>
    <font>
      <sz val="11"/>
      <name val="Calibri"/>
      <family val="2"/>
      <scheme val="minor"/>
    </font>
    <font>
      <b/>
      <sz val="10"/>
      <name val="Quattrocento Sans"/>
      <family val="2"/>
    </font>
    <font>
      <b/>
      <sz val="9"/>
      <name val="Abel"/>
    </font>
    <font>
      <b/>
      <sz val="10"/>
      <color theme="1" tint="4.9989318521683403E-2"/>
      <name val="Abel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bel"/>
    </font>
    <font>
      <b/>
      <sz val="8"/>
      <color rgb="FFFFFFFF"/>
      <name val="Abel"/>
    </font>
    <font>
      <sz val="8"/>
      <color theme="0"/>
      <name val="Abel"/>
    </font>
    <font>
      <b/>
      <sz val="8"/>
      <color rgb="FF414141"/>
      <name val="Abel"/>
    </font>
    <font>
      <b/>
      <sz val="8"/>
      <name val="Abel"/>
    </font>
    <font>
      <sz val="9"/>
      <color theme="1"/>
      <name val="Calibri"/>
      <family val="2"/>
      <scheme val="minor"/>
    </font>
    <font>
      <b/>
      <sz val="8"/>
      <color theme="0"/>
      <name val="Abel"/>
    </font>
    <font>
      <b/>
      <sz val="9"/>
      <color theme="0"/>
      <name val="Calibri"/>
      <family val="2"/>
      <scheme val="minor"/>
    </font>
    <font>
      <sz val="18"/>
      <color theme="0"/>
      <name val="Georgia"/>
      <family val="1"/>
    </font>
    <font>
      <sz val="14"/>
      <color theme="1"/>
      <name val="Calibri"/>
      <family val="2"/>
      <scheme val="minor"/>
    </font>
    <font>
      <b/>
      <sz val="10"/>
      <color theme="1"/>
      <name val="Abel"/>
    </font>
  </fonts>
  <fills count="2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rgb="FF414141"/>
      </patternFill>
    </fill>
    <fill>
      <patternFill patternType="solid">
        <fgColor rgb="FF414141"/>
        <bgColor rgb="FF414141"/>
      </patternFill>
    </fill>
    <fill>
      <patternFill patternType="solid">
        <fgColor rgb="FFFFC000"/>
        <bgColor rgb="FF414141"/>
      </patternFill>
    </fill>
    <fill>
      <patternFill patternType="solid">
        <fgColor rgb="FF414141"/>
        <bgColor rgb="FF404040"/>
      </patternFill>
    </fill>
    <fill>
      <patternFill patternType="solid">
        <fgColor theme="1" tint="0.249977111117893"/>
        <bgColor rgb="FF414141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A5A5A5"/>
      </patternFill>
    </fill>
    <fill>
      <patternFill patternType="solid">
        <fgColor theme="9" tint="-0.249977111117893"/>
        <bgColor rgb="FF414141"/>
      </patternFill>
    </fill>
    <fill>
      <patternFill patternType="solid">
        <fgColor rgb="FF002060"/>
        <bgColor rgb="FF404040"/>
      </patternFill>
    </fill>
    <fill>
      <patternFill patternType="solid">
        <fgColor rgb="FFF0F0F0"/>
        <bgColor rgb="FFF0F0F0"/>
      </patternFill>
    </fill>
    <fill>
      <patternFill patternType="solid">
        <fgColor rgb="FF404040"/>
        <bgColor rgb="FF404040"/>
      </patternFill>
    </fill>
    <fill>
      <patternFill patternType="solid">
        <fgColor rgb="FF92CC46"/>
        <bgColor rgb="FF92CC46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rgb="FF404040"/>
      </patternFill>
    </fill>
    <fill>
      <patternFill patternType="solid">
        <fgColor theme="8" tint="-0.249977111117893"/>
        <bgColor rgb="FF414141"/>
      </patternFill>
    </fill>
    <fill>
      <patternFill patternType="solid">
        <fgColor rgb="FFFF0000"/>
        <bgColor rgb="FF404040"/>
      </patternFill>
    </fill>
    <fill>
      <patternFill patternType="solid">
        <fgColor theme="2" tint="-0.749992370372631"/>
        <bgColor rgb="FF404040"/>
      </patternFill>
    </fill>
    <fill>
      <patternFill patternType="solid">
        <fgColor theme="2" tint="-0.749992370372631"/>
        <bgColor rgb="FF414141"/>
      </patternFill>
    </fill>
    <fill>
      <patternFill patternType="solid">
        <fgColor theme="0" tint="-0.34998626667073579"/>
        <bgColor rgb="FF41414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0F0F0"/>
      </patternFill>
    </fill>
    <fill>
      <patternFill patternType="solid">
        <fgColor theme="5" tint="0.59999389629810485"/>
        <bgColor rgb="FF74CADA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theme="0"/>
      </left>
      <right/>
      <top style="medium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Border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3">
    <xf numFmtId="0" fontId="0" fillId="0" borderId="0" xfId="0"/>
    <xf numFmtId="49" fontId="0" fillId="0" borderId="0" xfId="0" applyNumberFormat="1"/>
    <xf numFmtId="43" fontId="0" fillId="0" borderId="0" xfId="1" applyFont="1"/>
    <xf numFmtId="0" fontId="3" fillId="0" borderId="0" xfId="0" applyFont="1"/>
    <xf numFmtId="0" fontId="0" fillId="2" borderId="0" xfId="0" applyFill="1"/>
    <xf numFmtId="0" fontId="4" fillId="4" borderId="4" xfId="0" applyFont="1" applyFill="1" applyBorder="1" applyAlignment="1">
      <alignment horizontal="left" vertical="center"/>
    </xf>
    <xf numFmtId="0" fontId="6" fillId="6" borderId="5" xfId="3" quotePrefix="1" applyFont="1" applyFill="1" applyBorder="1" applyAlignment="1" applyProtection="1">
      <alignment horizontal="center" vertical="center"/>
      <protection hidden="1"/>
    </xf>
    <xf numFmtId="0" fontId="4" fillId="7" borderId="4" xfId="0" applyFont="1" applyFill="1" applyBorder="1" applyAlignment="1">
      <alignment horizontal="left" vertical="center"/>
    </xf>
    <xf numFmtId="0" fontId="8" fillId="9" borderId="6" xfId="0" applyFont="1" applyFill="1" applyBorder="1" applyAlignment="1" applyProtection="1">
      <alignment vertical="center"/>
      <protection hidden="1"/>
    </xf>
    <xf numFmtId="0" fontId="9" fillId="11" borderId="6" xfId="3" applyFont="1" applyFill="1" applyBorder="1" applyAlignment="1" applyProtection="1">
      <alignment vertical="center"/>
      <protection hidden="1"/>
    </xf>
    <xf numFmtId="0" fontId="10" fillId="4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  <xf numFmtId="0" fontId="13" fillId="12" borderId="8" xfId="0" applyFont="1" applyFill="1" applyBorder="1" applyAlignment="1">
      <alignment horizontal="left" vertical="center"/>
    </xf>
    <xf numFmtId="0" fontId="15" fillId="13" borderId="4" xfId="0" applyFont="1" applyFill="1" applyBorder="1" applyAlignment="1">
      <alignment vertical="center"/>
    </xf>
    <xf numFmtId="0" fontId="14" fillId="7" borderId="4" xfId="0" applyFont="1" applyFill="1" applyBorder="1" applyAlignment="1">
      <alignment horizontal="left" vertical="center"/>
    </xf>
    <xf numFmtId="0" fontId="12" fillId="14" borderId="4" xfId="0" applyFont="1" applyFill="1" applyBorder="1" applyAlignment="1">
      <alignment horizontal="left" vertical="center"/>
    </xf>
    <xf numFmtId="43" fontId="16" fillId="8" borderId="0" xfId="0" applyNumberFormat="1" applyFont="1" applyFill="1"/>
    <xf numFmtId="43" fontId="17" fillId="4" borderId="0" xfId="0" applyNumberFormat="1" applyFont="1" applyFill="1" applyAlignment="1">
      <alignment horizontal="right" vertical="center"/>
    </xf>
    <xf numFmtId="165" fontId="16" fillId="7" borderId="0" xfId="0" applyNumberFormat="1" applyFont="1" applyFill="1" applyAlignment="1">
      <alignment horizontal="right" vertical="center"/>
    </xf>
    <xf numFmtId="43" fontId="18" fillId="10" borderId="7" xfId="0" applyNumberFormat="1" applyFont="1" applyFill="1" applyBorder="1" applyAlignment="1">
      <alignment horizontal="right" vertical="center"/>
    </xf>
    <xf numFmtId="43" fontId="18" fillId="11" borderId="6" xfId="3" applyNumberFormat="1" applyFont="1" applyFill="1" applyBorder="1" applyAlignment="1" applyProtection="1">
      <alignment horizontal="center" vertical="center"/>
      <protection hidden="1"/>
    </xf>
    <xf numFmtId="43" fontId="19" fillId="12" borderId="9" xfId="0" applyNumberFormat="1" applyFont="1" applyFill="1" applyBorder="1" applyAlignment="1">
      <alignment horizontal="right" vertical="center"/>
    </xf>
    <xf numFmtId="0" fontId="20" fillId="6" borderId="5" xfId="3" applyFont="1" applyFill="1" applyBorder="1" applyAlignment="1" applyProtection="1">
      <alignment horizontal="center" vertical="center"/>
      <protection hidden="1"/>
    </xf>
    <xf numFmtId="10" fontId="20" fillId="4" borderId="0" xfId="2" applyNumberFormat="1" applyFont="1" applyFill="1" applyBorder="1" applyAlignment="1">
      <alignment horizontal="right" vertical="center"/>
    </xf>
    <xf numFmtId="10" fontId="20" fillId="10" borderId="7" xfId="2" applyNumberFormat="1" applyFont="1" applyFill="1" applyBorder="1" applyAlignment="1">
      <alignment horizontal="right" vertical="center"/>
    </xf>
    <xf numFmtId="10" fontId="20" fillId="11" borderId="6" xfId="2" applyNumberFormat="1" applyFont="1" applyFill="1" applyBorder="1" applyAlignment="1" applyProtection="1">
      <alignment horizontal="center" vertical="center"/>
      <protection hidden="1"/>
    </xf>
    <xf numFmtId="10" fontId="22" fillId="12" borderId="9" xfId="2" applyNumberFormat="1" applyFont="1" applyFill="1" applyBorder="1" applyAlignment="1">
      <alignment vertical="center"/>
    </xf>
    <xf numFmtId="164" fontId="19" fillId="14" borderId="0" xfId="0" applyNumberFormat="1" applyFont="1" applyFill="1" applyAlignment="1">
      <alignment horizontal="right" vertical="center"/>
    </xf>
    <xf numFmtId="10" fontId="21" fillId="8" borderId="0" xfId="2" applyNumberFormat="1" applyFont="1" applyFill="1"/>
    <xf numFmtId="43" fontId="0" fillId="2" borderId="0" xfId="0" applyNumberFormat="1" applyFill="1"/>
    <xf numFmtId="43" fontId="20" fillId="4" borderId="0" xfId="2" applyNumberFormat="1" applyFont="1" applyFill="1" applyBorder="1" applyAlignment="1">
      <alignment horizontal="right" vertical="center"/>
    </xf>
    <xf numFmtId="43" fontId="22" fillId="14" borderId="0" xfId="2" applyNumberFormat="1" applyFont="1" applyFill="1" applyBorder="1" applyAlignment="1">
      <alignment vertical="center"/>
    </xf>
    <xf numFmtId="0" fontId="0" fillId="15" borderId="0" xfId="0" applyFill="1"/>
    <xf numFmtId="0" fontId="0" fillId="0" borderId="11" xfId="0" applyBorder="1"/>
    <xf numFmtId="0" fontId="0" fillId="15" borderId="11" xfId="0" applyFill="1" applyBorder="1"/>
    <xf numFmtId="49" fontId="0" fillId="0" borderId="11" xfId="0" applyNumberFormat="1" applyBorder="1"/>
    <xf numFmtId="43" fontId="0" fillId="0" borderId="11" xfId="1" applyFont="1" applyBorder="1"/>
    <xf numFmtId="0" fontId="0" fillId="0" borderId="12" xfId="0" applyBorder="1"/>
    <xf numFmtId="49" fontId="0" fillId="0" borderId="12" xfId="0" applyNumberFormat="1" applyBorder="1"/>
    <xf numFmtId="43" fontId="0" fillId="0" borderId="12" xfId="1" applyFont="1" applyBorder="1"/>
    <xf numFmtId="0" fontId="3" fillId="0" borderId="10" xfId="0" applyFont="1" applyBorder="1"/>
    <xf numFmtId="0" fontId="3" fillId="15" borderId="10" xfId="0" applyFont="1" applyFill="1" applyBorder="1"/>
    <xf numFmtId="43" fontId="3" fillId="0" borderId="10" xfId="1" applyFont="1" applyBorder="1" applyAlignment="1">
      <alignment horizontal="center"/>
    </xf>
    <xf numFmtId="43" fontId="3" fillId="15" borderId="10" xfId="1" applyFont="1" applyFill="1" applyBorder="1" applyAlignment="1">
      <alignment horizontal="center"/>
    </xf>
    <xf numFmtId="43" fontId="0" fillId="15" borderId="11" xfId="1" applyFont="1" applyFill="1" applyBorder="1"/>
    <xf numFmtId="43" fontId="0" fillId="15" borderId="12" xfId="1" applyFont="1" applyFill="1" applyBorder="1"/>
    <xf numFmtId="43" fontId="0" fillId="15" borderId="0" xfId="1" applyFont="1" applyFill="1"/>
    <xf numFmtId="49" fontId="0" fillId="0" borderId="13" xfId="0" applyNumberFormat="1" applyBorder="1"/>
    <xf numFmtId="43" fontId="0" fillId="15" borderId="13" xfId="1" applyFont="1" applyFill="1" applyBorder="1"/>
    <xf numFmtId="43" fontId="0" fillId="0" borderId="13" xfId="1" applyFont="1" applyBorder="1"/>
    <xf numFmtId="49" fontId="0" fillId="0" borderId="14" xfId="0" applyNumberFormat="1" applyBorder="1"/>
    <xf numFmtId="43" fontId="0" fillId="15" borderId="14" xfId="1" applyFont="1" applyFill="1" applyBorder="1"/>
    <xf numFmtId="43" fontId="0" fillId="0" borderId="14" xfId="1" applyFont="1" applyBorder="1"/>
    <xf numFmtId="49" fontId="0" fillId="0" borderId="15" xfId="0" applyNumberFormat="1" applyBorder="1"/>
    <xf numFmtId="43" fontId="0" fillId="0" borderId="11" xfId="0" applyNumberFormat="1" applyBorder="1"/>
    <xf numFmtId="0" fontId="7" fillId="16" borderId="6" xfId="0" applyFont="1" applyFill="1" applyBorder="1" applyAlignment="1" applyProtection="1">
      <alignment horizontal="left" vertical="center"/>
      <protection hidden="1"/>
    </xf>
    <xf numFmtId="43" fontId="18" fillId="17" borderId="7" xfId="0" applyNumberFormat="1" applyFont="1" applyFill="1" applyBorder="1" applyAlignment="1">
      <alignment horizontal="right" vertical="center"/>
    </xf>
    <xf numFmtId="10" fontId="20" fillId="17" borderId="7" xfId="2" applyNumberFormat="1" applyFont="1" applyFill="1" applyBorder="1" applyAlignment="1">
      <alignment horizontal="right" vertical="center"/>
    </xf>
    <xf numFmtId="43" fontId="18" fillId="17" borderId="7" xfId="1" applyFont="1" applyFill="1" applyBorder="1" applyAlignment="1">
      <alignment horizontal="right" vertical="center"/>
    </xf>
    <xf numFmtId="0" fontId="7" fillId="16" borderId="5" xfId="3" quotePrefix="1" applyFont="1" applyFill="1" applyBorder="1" applyAlignment="1" applyProtection="1">
      <alignment horizontal="center" vertical="center"/>
      <protection hidden="1"/>
    </xf>
    <xf numFmtId="0" fontId="24" fillId="18" borderId="5" xfId="3" quotePrefix="1" applyFont="1" applyFill="1" applyBorder="1" applyAlignment="1" applyProtection="1">
      <alignment horizontal="center" vertical="center"/>
      <protection hidden="1"/>
    </xf>
    <xf numFmtId="0" fontId="7" fillId="19" borderId="6" xfId="0" applyFont="1" applyFill="1" applyBorder="1" applyAlignment="1" applyProtection="1">
      <alignment horizontal="left" vertical="center"/>
      <protection hidden="1"/>
    </xf>
    <xf numFmtId="43" fontId="18" fillId="20" borderId="7" xfId="0" applyNumberFormat="1" applyFont="1" applyFill="1" applyBorder="1" applyAlignment="1">
      <alignment horizontal="right" vertical="center"/>
    </xf>
    <xf numFmtId="43" fontId="18" fillId="20" borderId="7" xfId="1" applyFont="1" applyFill="1" applyBorder="1" applyAlignment="1">
      <alignment horizontal="right" vertical="center"/>
    </xf>
    <xf numFmtId="0" fontId="7" fillId="5" borderId="1" xfId="0" applyFont="1" applyFill="1" applyBorder="1" applyAlignment="1" applyProtection="1">
      <alignment horizontal="center" vertical="center"/>
      <protection hidden="1"/>
    </xf>
    <xf numFmtId="43" fontId="0" fillId="0" borderId="0" xfId="4" applyFont="1"/>
    <xf numFmtId="43" fontId="0" fillId="0" borderId="0" xfId="5" applyFont="1"/>
    <xf numFmtId="43" fontId="27" fillId="15" borderId="11" xfId="1" applyFont="1" applyFill="1" applyBorder="1"/>
    <xf numFmtId="43" fontId="0" fillId="15" borderId="0" xfId="5" applyFont="1" applyFill="1"/>
    <xf numFmtId="49" fontId="0" fillId="22" borderId="14" xfId="0" applyNumberFormat="1" applyFill="1" applyBorder="1"/>
    <xf numFmtId="43" fontId="0" fillId="22" borderId="14" xfId="1" applyFont="1" applyFill="1" applyBorder="1"/>
    <xf numFmtId="0" fontId="13" fillId="23" borderId="8" xfId="0" applyFont="1" applyFill="1" applyBorder="1" applyAlignment="1">
      <alignment horizontal="left" vertical="center"/>
    </xf>
    <xf numFmtId="43" fontId="19" fillId="23" borderId="9" xfId="0" applyNumberFormat="1" applyFont="1" applyFill="1" applyBorder="1" applyAlignment="1">
      <alignment horizontal="right" vertical="center"/>
    </xf>
    <xf numFmtId="10" fontId="22" fillId="23" borderId="9" xfId="2" applyNumberFormat="1" applyFont="1" applyFill="1" applyBorder="1" applyAlignment="1">
      <alignment vertical="center"/>
    </xf>
    <xf numFmtId="0" fontId="28" fillId="24" borderId="4" xfId="0" applyFont="1" applyFill="1" applyBorder="1" applyAlignment="1">
      <alignment horizontal="left" vertical="center"/>
    </xf>
    <xf numFmtId="43" fontId="26" fillId="24" borderId="0" xfId="1" applyFont="1" applyFill="1" applyAlignment="1">
      <alignment horizontal="right" vertical="center"/>
    </xf>
    <xf numFmtId="10" fontId="29" fillId="24" borderId="0" xfId="2" applyNumberFormat="1" applyFont="1" applyFill="1" applyBorder="1" applyAlignment="1">
      <alignment vertical="center"/>
    </xf>
    <xf numFmtId="164" fontId="26" fillId="24" borderId="0" xfId="0" applyNumberFormat="1" applyFont="1" applyFill="1" applyAlignment="1">
      <alignment horizontal="right" vertical="center"/>
    </xf>
    <xf numFmtId="0" fontId="12" fillId="24" borderId="4" xfId="0" applyFont="1" applyFill="1" applyBorder="1" applyAlignment="1">
      <alignment horizontal="left" vertical="center"/>
    </xf>
    <xf numFmtId="164" fontId="19" fillId="24" borderId="0" xfId="0" applyNumberFormat="1" applyFont="1" applyFill="1" applyAlignment="1">
      <alignment horizontal="right" vertical="center"/>
    </xf>
    <xf numFmtId="164" fontId="30" fillId="24" borderId="0" xfId="0" applyNumberFormat="1" applyFont="1" applyFill="1" applyAlignment="1">
      <alignment horizontal="right" vertical="center"/>
    </xf>
    <xf numFmtId="43" fontId="0" fillId="0" borderId="0" xfId="0" applyNumberFormat="1"/>
    <xf numFmtId="43" fontId="0" fillId="0" borderId="0" xfId="6" applyFont="1"/>
    <xf numFmtId="43" fontId="0" fillId="15" borderId="10" xfId="1" applyFont="1" applyFill="1" applyBorder="1"/>
    <xf numFmtId="43" fontId="0" fillId="0" borderId="10" xfId="1" applyFont="1" applyBorder="1"/>
    <xf numFmtId="43" fontId="0" fillId="15" borderId="10" xfId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43" fontId="0" fillId="0" borderId="10" xfId="1" applyFont="1" applyBorder="1" applyAlignment="1">
      <alignment horizontal="center"/>
    </xf>
    <xf numFmtId="0" fontId="33" fillId="2" borderId="0" xfId="0" applyFont="1" applyFill="1"/>
    <xf numFmtId="0" fontId="34" fillId="6" borderId="5" xfId="3" applyFont="1" applyFill="1" applyBorder="1" applyAlignment="1" applyProtection="1">
      <alignment horizontal="center" vertical="center"/>
      <protection hidden="1"/>
    </xf>
    <xf numFmtId="0" fontId="38" fillId="2" borderId="0" xfId="0" applyFont="1" applyFill="1"/>
    <xf numFmtId="43" fontId="18" fillId="11" borderId="19" xfId="3" applyNumberFormat="1" applyFont="1" applyFill="1" applyBorder="1" applyAlignment="1" applyProtection="1">
      <alignment horizontal="center" vertical="center"/>
      <protection hidden="1"/>
    </xf>
    <xf numFmtId="10" fontId="35" fillId="8" borderId="18" xfId="2" applyNumberFormat="1" applyFont="1" applyFill="1" applyBorder="1"/>
    <xf numFmtId="10" fontId="35" fillId="8" borderId="20" xfId="2" applyNumberFormat="1" applyFont="1" applyFill="1" applyBorder="1"/>
    <xf numFmtId="10" fontId="34" fillId="17" borderId="21" xfId="2" applyNumberFormat="1" applyFont="1" applyFill="1" applyBorder="1" applyAlignment="1">
      <alignment horizontal="right" vertical="center"/>
    </xf>
    <xf numFmtId="10" fontId="34" fillId="4" borderId="20" xfId="2" applyNumberFormat="1" applyFont="1" applyFill="1" applyBorder="1" applyAlignment="1">
      <alignment horizontal="right" vertical="center"/>
    </xf>
    <xf numFmtId="10" fontId="34" fillId="10" borderId="21" xfId="2" applyNumberFormat="1" applyFont="1" applyFill="1" applyBorder="1" applyAlignment="1">
      <alignment horizontal="right" vertical="center"/>
    </xf>
    <xf numFmtId="10" fontId="34" fillId="11" borderId="22" xfId="2" applyNumberFormat="1" applyFont="1" applyFill="1" applyBorder="1" applyAlignment="1" applyProtection="1">
      <alignment horizontal="center" vertical="center"/>
      <protection hidden="1"/>
    </xf>
    <xf numFmtId="10" fontId="36" fillId="12" borderId="23" xfId="2" applyNumberFormat="1" applyFont="1" applyFill="1" applyBorder="1" applyAlignment="1">
      <alignment vertical="center"/>
    </xf>
    <xf numFmtId="10" fontId="37" fillId="24" borderId="20" xfId="2" applyNumberFormat="1" applyFont="1" applyFill="1" applyBorder="1" applyAlignment="1">
      <alignment vertical="center"/>
    </xf>
    <xf numFmtId="10" fontId="36" fillId="14" borderId="20" xfId="2" applyNumberFormat="1" applyFont="1" applyFill="1" applyBorder="1" applyAlignment="1">
      <alignment vertical="center"/>
    </xf>
    <xf numFmtId="10" fontId="36" fillId="23" borderId="23" xfId="2" applyNumberFormat="1" applyFont="1" applyFill="1" applyBorder="1" applyAlignment="1">
      <alignment vertical="center"/>
    </xf>
    <xf numFmtId="10" fontId="21" fillId="8" borderId="18" xfId="2" applyNumberFormat="1" applyFont="1" applyFill="1" applyBorder="1"/>
    <xf numFmtId="10" fontId="21" fillId="8" borderId="20" xfId="2" applyNumberFormat="1" applyFont="1" applyFill="1" applyBorder="1"/>
    <xf numFmtId="10" fontId="20" fillId="17" borderId="21" xfId="2" applyNumberFormat="1" applyFont="1" applyFill="1" applyBorder="1" applyAlignment="1">
      <alignment horizontal="right" vertical="center"/>
    </xf>
    <xf numFmtId="10" fontId="20" fillId="4" borderId="20" xfId="2" applyNumberFormat="1" applyFont="1" applyFill="1" applyBorder="1" applyAlignment="1">
      <alignment horizontal="right" vertical="center"/>
    </xf>
    <xf numFmtId="10" fontId="20" fillId="10" borderId="21" xfId="2" applyNumberFormat="1" applyFont="1" applyFill="1" applyBorder="1" applyAlignment="1">
      <alignment horizontal="right" vertical="center"/>
    </xf>
    <xf numFmtId="10" fontId="20" fillId="11" borderId="22" xfId="2" applyNumberFormat="1" applyFont="1" applyFill="1" applyBorder="1" applyAlignment="1" applyProtection="1">
      <alignment horizontal="center" vertical="center"/>
      <protection hidden="1"/>
    </xf>
    <xf numFmtId="10" fontId="22" fillId="12" borderId="23" xfId="2" applyNumberFormat="1" applyFont="1" applyFill="1" applyBorder="1" applyAlignment="1">
      <alignment vertical="center"/>
    </xf>
    <xf numFmtId="10" fontId="29" fillId="24" borderId="20" xfId="2" applyNumberFormat="1" applyFont="1" applyFill="1" applyBorder="1" applyAlignment="1">
      <alignment vertical="center"/>
    </xf>
    <xf numFmtId="43" fontId="20" fillId="4" borderId="20" xfId="2" applyNumberFormat="1" applyFont="1" applyFill="1" applyBorder="1" applyAlignment="1">
      <alignment horizontal="right" vertical="center"/>
    </xf>
    <xf numFmtId="43" fontId="22" fillId="14" borderId="20" xfId="2" applyNumberFormat="1" applyFont="1" applyFill="1" applyBorder="1" applyAlignment="1">
      <alignment vertical="center"/>
    </xf>
    <xf numFmtId="10" fontId="22" fillId="23" borderId="23" xfId="2" applyNumberFormat="1" applyFont="1" applyFill="1" applyBorder="1" applyAlignment="1">
      <alignment vertical="center"/>
    </xf>
    <xf numFmtId="43" fontId="20" fillId="4" borderId="24" xfId="2" applyNumberFormat="1" applyFont="1" applyFill="1" applyBorder="1" applyAlignment="1">
      <alignment horizontal="right" vertical="center"/>
    </xf>
    <xf numFmtId="0" fontId="32" fillId="2" borderId="0" xfId="0" applyFont="1" applyFill="1"/>
    <xf numFmtId="43" fontId="32" fillId="2" borderId="0" xfId="0" applyNumberFormat="1" applyFont="1" applyFill="1"/>
    <xf numFmtId="0" fontId="31" fillId="2" borderId="0" xfId="0" applyFont="1" applyFill="1"/>
    <xf numFmtId="43" fontId="31" fillId="2" borderId="0" xfId="0" applyNumberFormat="1" applyFont="1" applyFill="1"/>
    <xf numFmtId="0" fontId="39" fillId="2" borderId="0" xfId="0" applyFont="1" applyFill="1"/>
    <xf numFmtId="0" fontId="40" fillId="2" borderId="0" xfId="0" applyFont="1" applyFill="1"/>
    <xf numFmtId="43" fontId="32" fillId="2" borderId="0" xfId="1" applyFont="1" applyFill="1"/>
    <xf numFmtId="43" fontId="0" fillId="2" borderId="0" xfId="1" applyFont="1" applyFill="1"/>
    <xf numFmtId="43" fontId="0" fillId="0" borderId="11" xfId="7" applyFont="1" applyBorder="1"/>
    <xf numFmtId="43" fontId="16" fillId="8" borderId="0" xfId="0" applyNumberFormat="1" applyFont="1" applyFill="1" applyAlignment="1">
      <alignment horizontal="center"/>
    </xf>
    <xf numFmtId="43" fontId="18" fillId="20" borderId="7" xfId="0" applyNumberFormat="1" applyFont="1" applyFill="1" applyBorder="1" applyAlignment="1">
      <alignment horizontal="center" vertical="center"/>
    </xf>
    <xf numFmtId="43" fontId="18" fillId="20" borderId="7" xfId="1" applyFont="1" applyFill="1" applyBorder="1" applyAlignment="1">
      <alignment horizontal="center" vertical="center"/>
    </xf>
    <xf numFmtId="43" fontId="0" fillId="0" borderId="12" xfId="0" applyNumberFormat="1" applyBorder="1"/>
    <xf numFmtId="0" fontId="4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64" fontId="26" fillId="14" borderId="0" xfId="0" applyNumberFormat="1" applyFont="1" applyFill="1" applyAlignment="1">
      <alignment horizontal="right" vertical="center"/>
    </xf>
    <xf numFmtId="0" fontId="0" fillId="15" borderId="12" xfId="0" applyFill="1" applyBorder="1"/>
    <xf numFmtId="0" fontId="42" fillId="15" borderId="25" xfId="0" applyFont="1" applyFill="1" applyBorder="1" applyAlignment="1">
      <alignment horizontal="center"/>
    </xf>
    <xf numFmtId="43" fontId="0" fillId="22" borderId="15" xfId="1" applyFont="1" applyFill="1" applyBorder="1"/>
    <xf numFmtId="43" fontId="0" fillId="0" borderId="11" xfId="1" applyFont="1" applyBorder="1" applyAlignment="1">
      <alignment horizontal="center"/>
    </xf>
    <xf numFmtId="43" fontId="0" fillId="15" borderId="0" xfId="1" applyFont="1" applyFill="1" applyBorder="1"/>
    <xf numFmtId="43" fontId="0" fillId="0" borderId="0" xfId="1" applyFont="1" applyBorder="1"/>
    <xf numFmtId="43" fontId="0" fillId="15" borderId="26" xfId="1" applyFont="1" applyFill="1" applyBorder="1"/>
    <xf numFmtId="49" fontId="0" fillId="15" borderId="0" xfId="0" applyNumberFormat="1" applyFill="1"/>
    <xf numFmtId="0" fontId="0" fillId="15" borderId="27" xfId="0" applyFill="1" applyBorder="1"/>
    <xf numFmtId="43" fontId="0" fillId="0" borderId="11" xfId="1" applyFont="1" applyFill="1" applyBorder="1"/>
    <xf numFmtId="43" fontId="0" fillId="0" borderId="26" xfId="1" applyFont="1" applyBorder="1"/>
    <xf numFmtId="0" fontId="0" fillId="25" borderId="0" xfId="0" applyFill="1"/>
    <xf numFmtId="0" fontId="38" fillId="25" borderId="0" xfId="0" applyFont="1" applyFill="1"/>
    <xf numFmtId="43" fontId="0" fillId="25" borderId="0" xfId="1" applyFont="1" applyFill="1"/>
    <xf numFmtId="164" fontId="43" fillId="24" borderId="0" xfId="0" applyNumberFormat="1" applyFont="1" applyFill="1" applyAlignment="1">
      <alignment horizontal="right" vertical="center"/>
    </xf>
    <xf numFmtId="43" fontId="0" fillId="0" borderId="0" xfId="10" applyFont="1" applyFill="1"/>
    <xf numFmtId="0" fontId="6" fillId="6" borderId="23" xfId="3" quotePrefix="1" applyFont="1" applyFill="1" applyBorder="1" applyAlignment="1" applyProtection="1">
      <alignment horizontal="center" vertical="center"/>
      <protection hidden="1"/>
    </xf>
    <xf numFmtId="0" fontId="7" fillId="5" borderId="29" xfId="0" applyFont="1" applyFill="1" applyBorder="1" applyAlignment="1" applyProtection="1">
      <alignment horizontal="center" vertical="center"/>
      <protection hidden="1"/>
    </xf>
    <xf numFmtId="0" fontId="7" fillId="5" borderId="30" xfId="0" applyFont="1" applyFill="1" applyBorder="1" applyAlignment="1" applyProtection="1">
      <alignment horizontal="center" vertical="center"/>
      <protection hidden="1"/>
    </xf>
    <xf numFmtId="43" fontId="16" fillId="8" borderId="31" xfId="0" applyNumberFormat="1" applyFont="1" applyFill="1" applyBorder="1"/>
    <xf numFmtId="43" fontId="18" fillId="17" borderId="32" xfId="0" applyNumberFormat="1" applyFont="1" applyFill="1" applyBorder="1" applyAlignment="1">
      <alignment horizontal="right" vertical="center"/>
    </xf>
    <xf numFmtId="43" fontId="18" fillId="17" borderId="32" xfId="1" applyFont="1" applyFill="1" applyBorder="1" applyAlignment="1">
      <alignment horizontal="right" vertical="center"/>
    </xf>
    <xf numFmtId="43" fontId="17" fillId="4" borderId="31" xfId="0" applyNumberFormat="1" applyFont="1" applyFill="1" applyBorder="1" applyAlignment="1">
      <alignment horizontal="right" vertical="center"/>
    </xf>
    <xf numFmtId="43" fontId="18" fillId="10" borderId="32" xfId="0" applyNumberFormat="1" applyFont="1" applyFill="1" applyBorder="1" applyAlignment="1">
      <alignment horizontal="right" vertical="center"/>
    </xf>
    <xf numFmtId="43" fontId="18" fillId="11" borderId="33" xfId="3" applyNumberFormat="1" applyFont="1" applyFill="1" applyBorder="1" applyAlignment="1" applyProtection="1">
      <alignment horizontal="center" vertical="center"/>
      <protection hidden="1"/>
    </xf>
    <xf numFmtId="43" fontId="19" fillId="12" borderId="34" xfId="0" applyNumberFormat="1" applyFont="1" applyFill="1" applyBorder="1" applyAlignment="1">
      <alignment horizontal="right" vertical="center"/>
    </xf>
    <xf numFmtId="164" fontId="26" fillId="24" borderId="31" xfId="0" applyNumberFormat="1" applyFont="1" applyFill="1" applyBorder="1" applyAlignment="1">
      <alignment horizontal="right" vertical="center"/>
    </xf>
    <xf numFmtId="165" fontId="16" fillId="7" borderId="31" xfId="0" applyNumberFormat="1" applyFont="1" applyFill="1" applyBorder="1" applyAlignment="1">
      <alignment horizontal="right" vertical="center"/>
    </xf>
    <xf numFmtId="164" fontId="19" fillId="14" borderId="31" xfId="0" applyNumberFormat="1" applyFont="1" applyFill="1" applyBorder="1" applyAlignment="1">
      <alignment horizontal="right" vertical="center"/>
    </xf>
    <xf numFmtId="43" fontId="19" fillId="23" borderId="34" xfId="0" applyNumberFormat="1" applyFont="1" applyFill="1" applyBorder="1" applyAlignment="1">
      <alignment horizontal="right" vertical="center"/>
    </xf>
    <xf numFmtId="10" fontId="22" fillId="14" borderId="20" xfId="2" applyNumberFormat="1" applyFont="1" applyFill="1" applyBorder="1" applyAlignment="1">
      <alignment vertical="center"/>
    </xf>
    <xf numFmtId="43" fontId="0" fillId="0" borderId="35" xfId="1" applyFont="1" applyBorder="1"/>
    <xf numFmtId="4" fontId="0" fillId="0" borderId="11" xfId="0" applyNumberFormat="1" applyBorder="1"/>
    <xf numFmtId="166" fontId="0" fillId="0" borderId="26" xfId="0" applyNumberFormat="1" applyBorder="1"/>
    <xf numFmtId="43" fontId="0" fillId="0" borderId="26" xfId="4" applyFont="1" applyBorder="1"/>
    <xf numFmtId="43" fontId="0" fillId="15" borderId="11" xfId="9" applyFont="1" applyFill="1" applyBorder="1"/>
    <xf numFmtId="166" fontId="0" fillId="0" borderId="11" xfId="0" applyNumberFormat="1" applyBorder="1"/>
    <xf numFmtId="43" fontId="0" fillId="22" borderId="10" xfId="1" applyFont="1" applyFill="1" applyBorder="1"/>
    <xf numFmtId="4" fontId="0" fillId="22" borderId="10" xfId="0" applyNumberFormat="1" applyFill="1" applyBorder="1"/>
    <xf numFmtId="43" fontId="0" fillId="15" borderId="11" xfId="5" applyFont="1" applyFill="1" applyBorder="1"/>
    <xf numFmtId="166" fontId="0" fillId="0" borderId="10" xfId="0" applyNumberFormat="1" applyBorder="1"/>
    <xf numFmtId="0" fontId="7" fillId="5" borderId="30" xfId="0" applyFont="1" applyFill="1" applyBorder="1" applyAlignment="1" applyProtection="1">
      <alignment horizontal="center" vertical="center"/>
      <protection hidden="1"/>
    </xf>
    <xf numFmtId="0" fontId="7" fillId="5" borderId="29" xfId="0" applyFont="1" applyFill="1" applyBorder="1" applyAlignment="1" applyProtection="1">
      <alignment horizontal="center" vertical="center"/>
      <protection hidden="1"/>
    </xf>
    <xf numFmtId="0" fontId="7" fillId="5" borderId="28" xfId="0" applyFont="1" applyFill="1" applyBorder="1" applyAlignment="1" applyProtection="1">
      <alignment horizontal="center" vertical="center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23" fillId="3" borderId="1" xfId="0" applyFont="1" applyFill="1" applyBorder="1" applyAlignment="1" applyProtection="1">
      <alignment horizontal="center" vertical="center" wrapText="1"/>
      <protection hidden="1"/>
    </xf>
    <xf numFmtId="0" fontId="23" fillId="3" borderId="2" xfId="0" applyFont="1" applyFill="1" applyBorder="1" applyAlignment="1" applyProtection="1">
      <alignment horizontal="center" vertical="center" wrapText="1"/>
      <protection hidden="1"/>
    </xf>
    <xf numFmtId="0" fontId="23" fillId="3" borderId="3" xfId="0" applyFont="1" applyFill="1" applyBorder="1" applyAlignment="1" applyProtection="1">
      <alignment horizontal="center" vertical="center" wrapText="1"/>
      <protection hidden="1"/>
    </xf>
    <xf numFmtId="0" fontId="7" fillId="5" borderId="16" xfId="0" applyFont="1" applyFill="1" applyBorder="1" applyAlignment="1" applyProtection="1">
      <alignment horizontal="center" vertical="center"/>
      <protection hidden="1"/>
    </xf>
    <xf numFmtId="0" fontId="7" fillId="5" borderId="17" xfId="0" applyFont="1" applyFill="1" applyBorder="1" applyAlignment="1" applyProtection="1">
      <alignment horizontal="center" vertical="center"/>
      <protection hidden="1"/>
    </xf>
    <xf numFmtId="0" fontId="25" fillId="21" borderId="16" xfId="0" applyFont="1" applyFill="1" applyBorder="1" applyAlignment="1" applyProtection="1">
      <alignment horizontal="center" vertical="center"/>
      <protection hidden="1"/>
    </xf>
    <xf numFmtId="0" fontId="25" fillId="21" borderId="17" xfId="0" applyFont="1" applyFill="1" applyBorder="1" applyAlignment="1" applyProtection="1">
      <alignment horizontal="center" vertical="center"/>
      <protection hidden="1"/>
    </xf>
    <xf numFmtId="166" fontId="0" fillId="0" borderId="0" xfId="0" applyNumberFormat="1"/>
  </cellXfs>
  <cellStyles count="11">
    <cellStyle name="Excel Built-in Explanatory Text 1" xfId="3" xr:uid="{B7CF4591-76EA-4E95-88F5-2493B3BC83AC}"/>
    <cellStyle name="Normal" xfId="0" builtinId="0"/>
    <cellStyle name="Porcentagem" xfId="2" builtinId="5"/>
    <cellStyle name="Vírgula" xfId="1" builtinId="3"/>
    <cellStyle name="Vírgula 2" xfId="4" xr:uid="{7C66FBFD-BC37-4E37-BF53-151DCAA2C6BF}"/>
    <cellStyle name="Vírgula 3" xfId="5" xr:uid="{97FBD766-250E-44B8-9A06-74C3BAC3D943}"/>
    <cellStyle name="Vírgula 4" xfId="6" xr:uid="{55F8AF7F-64E0-4AC7-B794-575C996A0DE7}"/>
    <cellStyle name="Vírgula 5" xfId="7" xr:uid="{283E13FC-355E-4406-9F81-5B12381B69B1}"/>
    <cellStyle name="Vírgula 6" xfId="8" xr:uid="{84FBC3FC-23A3-4EA1-A52D-3125880FCEF0}"/>
    <cellStyle name="Vírgula 7" xfId="9" xr:uid="{5065E570-4541-4C15-9829-36DCB0A990C1}"/>
    <cellStyle name="Vírgula 8" xfId="10" xr:uid="{3CAEAF2A-CA55-465F-AC87-6445A59AF4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8CF9-4E74-4B27-9F36-C3861B981F35}">
  <dimension ref="B2:EY48"/>
  <sheetViews>
    <sheetView topLeftCell="D25" zoomScale="110" zoomScaleNormal="110" zoomScaleSheetLayoutView="120" workbookViewId="0">
      <selection activeCell="M7" sqref="M7"/>
    </sheetView>
  </sheetViews>
  <sheetFormatPr defaultColWidth="8.85546875" defaultRowHeight="15" x14ac:dyDescent="0.25"/>
  <cols>
    <col min="1" max="1" width="1.7109375" style="4" customWidth="1"/>
    <col min="2" max="2" width="21.140625" style="4" customWidth="1"/>
    <col min="3" max="3" width="14.5703125" style="4" bestFit="1" customWidth="1"/>
    <col min="4" max="4" width="11.5703125" style="88" bestFit="1" customWidth="1"/>
    <col min="5" max="5" width="14.7109375" style="4" bestFit="1" customWidth="1"/>
    <col min="6" max="6" width="7.85546875" style="90" bestFit="1" customWidth="1"/>
    <col min="7" max="7" width="12.7109375" style="4" customWidth="1"/>
    <col min="8" max="8" width="8" style="90" customWidth="1"/>
    <col min="9" max="9" width="12.85546875" style="4" customWidth="1"/>
    <col min="10" max="10" width="8.42578125" style="90" bestFit="1" customWidth="1"/>
    <col min="11" max="11" width="12.85546875" style="4" customWidth="1"/>
    <col min="12" max="12" width="7.85546875" style="90" customWidth="1"/>
    <col min="13" max="13" width="12.85546875" style="4" customWidth="1"/>
    <col min="14" max="14" width="8" style="4" customWidth="1"/>
    <col min="15" max="15" width="12.85546875" style="4" bestFit="1" customWidth="1"/>
    <col min="16" max="16" width="8" style="4" bestFit="1" customWidth="1"/>
    <col min="17" max="17" width="5.42578125" style="4" bestFit="1" customWidth="1"/>
    <col min="18" max="18" width="5.85546875" style="4" bestFit="1" customWidth="1"/>
    <col min="19" max="19" width="13.42578125" style="4" bestFit="1" customWidth="1"/>
    <col min="20" max="20" width="5.85546875" style="4" bestFit="1" customWidth="1"/>
    <col min="21" max="21" width="12.140625" style="4" bestFit="1" customWidth="1"/>
    <col min="22" max="22" width="5.85546875" style="4" bestFit="1" customWidth="1"/>
    <col min="23" max="23" width="14" style="4" bestFit="1" customWidth="1"/>
    <col min="24" max="24" width="5.85546875" style="4" bestFit="1" customWidth="1"/>
    <col min="25" max="25" width="5.42578125" style="4" bestFit="1" customWidth="1"/>
    <col min="26" max="26" width="5.85546875" style="4" bestFit="1" customWidth="1"/>
    <col min="27" max="27" width="14.42578125" style="4" bestFit="1" customWidth="1"/>
    <col min="28" max="29" width="8.85546875" style="4"/>
    <col min="30" max="30" width="13.28515625" style="4" bestFit="1" customWidth="1"/>
    <col min="31" max="16384" width="8.85546875" style="4"/>
  </cols>
  <sheetData>
    <row r="2" spans="2:31" x14ac:dyDescent="0.25">
      <c r="G2" s="29"/>
    </row>
    <row r="3" spans="2:31" ht="24" thickBot="1" x14ac:dyDescent="0.4">
      <c r="B3" s="127" t="s">
        <v>173</v>
      </c>
    </row>
    <row r="4" spans="2:31" ht="15.75" thickBot="1" x14ac:dyDescent="0.3">
      <c r="B4" s="175" t="s">
        <v>134</v>
      </c>
    </row>
    <row r="5" spans="2:31" x14ac:dyDescent="0.25">
      <c r="B5" s="176"/>
      <c r="C5" s="174" t="s">
        <v>34</v>
      </c>
      <c r="D5" s="174"/>
      <c r="E5" s="174" t="s">
        <v>35</v>
      </c>
      <c r="F5" s="174"/>
      <c r="G5" s="174" t="s">
        <v>36</v>
      </c>
      <c r="H5" s="174"/>
      <c r="I5" s="174" t="s">
        <v>37</v>
      </c>
      <c r="J5" s="174"/>
      <c r="K5" s="174" t="s">
        <v>38</v>
      </c>
      <c r="L5" s="174"/>
      <c r="M5" s="178" t="s">
        <v>39</v>
      </c>
      <c r="N5" s="179"/>
      <c r="O5" s="178" t="s">
        <v>40</v>
      </c>
      <c r="P5" s="179"/>
      <c r="Q5" s="178" t="s">
        <v>41</v>
      </c>
      <c r="R5" s="179"/>
      <c r="S5" s="64" t="s">
        <v>42</v>
      </c>
      <c r="T5" s="147"/>
      <c r="U5" s="148" t="s">
        <v>43</v>
      </c>
      <c r="V5" s="147"/>
      <c r="W5" s="148" t="s">
        <v>44</v>
      </c>
      <c r="X5" s="147"/>
      <c r="Y5" s="171" t="s">
        <v>45</v>
      </c>
      <c r="Z5" s="172"/>
      <c r="AA5" s="173">
        <v>2026</v>
      </c>
      <c r="AB5" s="174"/>
    </row>
    <row r="6" spans="2:31" ht="15.75" thickBot="1" x14ac:dyDescent="0.3">
      <c r="B6" s="177"/>
      <c r="C6" s="6" t="s">
        <v>71</v>
      </c>
      <c r="D6" s="89" t="s">
        <v>72</v>
      </c>
      <c r="E6" s="6" t="s">
        <v>71</v>
      </c>
      <c r="F6" s="22" t="s">
        <v>72</v>
      </c>
      <c r="G6" s="6" t="s">
        <v>71</v>
      </c>
      <c r="H6" s="22" t="s">
        <v>72</v>
      </c>
      <c r="I6" s="6" t="s">
        <v>71</v>
      </c>
      <c r="J6" s="22" t="s">
        <v>72</v>
      </c>
      <c r="K6" s="6" t="s">
        <v>71</v>
      </c>
      <c r="L6" s="22" t="s">
        <v>72</v>
      </c>
      <c r="M6" s="6" t="s">
        <v>71</v>
      </c>
      <c r="N6" s="22" t="s">
        <v>72</v>
      </c>
      <c r="O6" s="6" t="s">
        <v>71</v>
      </c>
      <c r="P6" s="22" t="s">
        <v>72</v>
      </c>
      <c r="Q6" s="6" t="s">
        <v>71</v>
      </c>
      <c r="R6" s="22" t="s">
        <v>72</v>
      </c>
      <c r="S6" s="6" t="s">
        <v>71</v>
      </c>
      <c r="T6" s="22" t="s">
        <v>72</v>
      </c>
      <c r="U6" s="6" t="s">
        <v>71</v>
      </c>
      <c r="V6" s="22" t="s">
        <v>72</v>
      </c>
      <c r="W6" s="6" t="s">
        <v>71</v>
      </c>
      <c r="X6" s="22" t="s">
        <v>72</v>
      </c>
      <c r="Y6" s="6" t="s">
        <v>71</v>
      </c>
      <c r="Z6" s="22" t="s">
        <v>72</v>
      </c>
      <c r="AA6" s="146" t="s">
        <v>71</v>
      </c>
      <c r="AB6" s="22" t="s">
        <v>72</v>
      </c>
    </row>
    <row r="7" spans="2:31" x14ac:dyDescent="0.25">
      <c r="B7" s="7" t="s">
        <v>136</v>
      </c>
      <c r="C7" s="16">
        <f>MVTO!F3</f>
        <v>19875.28</v>
      </c>
      <c r="D7" s="92">
        <f>C7/$C$12</f>
        <v>1</v>
      </c>
      <c r="E7" s="16">
        <f>MVTO!G3</f>
        <v>40161.629999999997</v>
      </c>
      <c r="F7" s="102">
        <f>E7/$E$12</f>
        <v>1</v>
      </c>
      <c r="G7" s="16">
        <f>MVTO!H3</f>
        <v>38795.06</v>
      </c>
      <c r="H7" s="102">
        <f>G7/$G$12</f>
        <v>1</v>
      </c>
      <c r="I7" s="16">
        <f>MVTO!I3</f>
        <v>26231.38</v>
      </c>
      <c r="J7" s="102">
        <f>I7/$I$12</f>
        <v>1</v>
      </c>
      <c r="K7" s="16">
        <f>MVTO!J3</f>
        <v>51183.74</v>
      </c>
      <c r="L7" s="102">
        <f>K7/$K$12</f>
        <v>1</v>
      </c>
      <c r="M7" s="16">
        <f>MVTO!K3</f>
        <v>34086.269999999997</v>
      </c>
      <c r="N7" s="102">
        <f>M7/$I$12</f>
        <v>1.2994463120125588</v>
      </c>
      <c r="O7" s="16">
        <f>MVTO!L3</f>
        <v>40272.17</v>
      </c>
      <c r="P7" s="102">
        <f>O7/$I$12</f>
        <v>1.5352669207643668</v>
      </c>
      <c r="Q7" s="16">
        <f>MVTO!M3</f>
        <v>0</v>
      </c>
      <c r="R7" s="102">
        <f>Q7/$G$12</f>
        <v>0</v>
      </c>
      <c r="S7" s="16">
        <f>MVTO!N3</f>
        <v>0</v>
      </c>
      <c r="T7" s="103">
        <f>S7/$G$12</f>
        <v>0</v>
      </c>
      <c r="U7" s="149">
        <f>MVTO!O3</f>
        <v>0</v>
      </c>
      <c r="V7" s="103">
        <f>U7/$G$12</f>
        <v>0</v>
      </c>
      <c r="W7" s="149">
        <f>MVTO!P3</f>
        <v>0</v>
      </c>
      <c r="X7" s="103">
        <f>W7/$G$12</f>
        <v>0</v>
      </c>
      <c r="Y7" s="149">
        <f>MVTO!Q3</f>
        <v>0</v>
      </c>
      <c r="Z7" s="103">
        <f t="shared" ref="Z7" si="0">Y7/$C$12</f>
        <v>0</v>
      </c>
      <c r="AA7" s="16">
        <f>C7+E7+G7+I7+K7+M7+O7+Q7+S7+U7+W7+Y7</f>
        <v>250605.52999999997</v>
      </c>
      <c r="AB7" s="28">
        <f>AA7/$AA$12</f>
        <v>1</v>
      </c>
      <c r="AD7" s="29"/>
      <c r="AE7" s="29"/>
    </row>
    <row r="8" spans="2:31" x14ac:dyDescent="0.25">
      <c r="B8" s="7" t="s">
        <v>135</v>
      </c>
      <c r="C8" s="16">
        <f>MVTO!F4</f>
        <v>25000</v>
      </c>
      <c r="D8" s="93">
        <f>C8/$C$12</f>
        <v>1.2578439146517686</v>
      </c>
      <c r="E8" s="16">
        <f>MVTO!G4</f>
        <v>980250.35</v>
      </c>
      <c r="F8" s="103">
        <f>E8/$E$12</f>
        <v>24.407633604512569</v>
      </c>
      <c r="G8" s="16">
        <f>MVTO!H4</f>
        <v>60836.15</v>
      </c>
      <c r="H8" s="103">
        <f>G8/$G$12</f>
        <v>1.5681416654594684</v>
      </c>
      <c r="I8" s="16">
        <f>MVTO!I4</f>
        <v>2177</v>
      </c>
      <c r="J8" s="103">
        <f>I8/$I$12</f>
        <v>8.2992202468951309E-2</v>
      </c>
      <c r="K8" s="16">
        <f>MVTO!J4</f>
        <v>220742.97</v>
      </c>
      <c r="L8" s="103">
        <f>K8/$I$12</f>
        <v>8.415225199741684</v>
      </c>
      <c r="M8" s="16">
        <f>MVTO!K4</f>
        <v>40000</v>
      </c>
      <c r="N8" s="103">
        <f>M8/$I$12</f>
        <v>1.5248911799531706</v>
      </c>
      <c r="O8" s="16">
        <f>MVTO!L4</f>
        <v>20000</v>
      </c>
      <c r="P8" s="103">
        <f>O8/$I$12</f>
        <v>0.76244558997658529</v>
      </c>
      <c r="Q8" s="16">
        <f>MVTO!M4</f>
        <v>0</v>
      </c>
      <c r="R8" s="103">
        <f>Q8/$G$12</f>
        <v>0</v>
      </c>
      <c r="S8" s="16">
        <f>MVTO!N4</f>
        <v>0</v>
      </c>
      <c r="T8" s="103">
        <f>S8/$G$12</f>
        <v>0</v>
      </c>
      <c r="U8" s="149">
        <f>MVTO!O4</f>
        <v>0</v>
      </c>
      <c r="V8" s="103">
        <f>U8/$G$12</f>
        <v>0</v>
      </c>
      <c r="W8" s="149">
        <f>MVTO!P4</f>
        <v>0</v>
      </c>
      <c r="X8" s="103">
        <f>W8/$G$12</f>
        <v>0</v>
      </c>
      <c r="Y8" s="149">
        <f>MVTO!Q4</f>
        <v>0</v>
      </c>
      <c r="Z8" s="103">
        <f t="shared" ref="Z8" si="1">Y8/$C$12</f>
        <v>0</v>
      </c>
      <c r="AA8" s="16">
        <f t="shared" ref="AA8:AA39" si="2">C8+E8+G8+I8+K8+M8+O8+Q8+S8+U8+W8+Y8</f>
        <v>1349006.47</v>
      </c>
      <c r="AB8" s="28">
        <f>AA8/$AA$12</f>
        <v>5.382987637982291</v>
      </c>
      <c r="AD8" s="29"/>
      <c r="AE8" s="29"/>
    </row>
    <row r="9" spans="2:31" x14ac:dyDescent="0.25">
      <c r="B9" s="7" t="s">
        <v>137</v>
      </c>
      <c r="C9" s="16">
        <f>MVTO!F5</f>
        <v>100847.05</v>
      </c>
      <c r="D9" s="93">
        <f>C9/$C$12</f>
        <v>5.0739939261233058</v>
      </c>
      <c r="E9" s="16">
        <f>MVTO!G5</f>
        <v>140045.89000000001</v>
      </c>
      <c r="F9" s="103">
        <f>E9/$E$12</f>
        <v>3.4870569247313923</v>
      </c>
      <c r="G9" s="16">
        <f>MVTO!H5</f>
        <v>342469.87</v>
      </c>
      <c r="H9" s="103">
        <f>G9/$G$12</f>
        <v>8.8276669761562427</v>
      </c>
      <c r="I9" s="16">
        <f>MVTO!I5</f>
        <v>12000</v>
      </c>
      <c r="J9" s="103">
        <f>I9/$I$12</f>
        <v>0.45746735398595118</v>
      </c>
      <c r="K9" s="16">
        <f>MVTO!J5</f>
        <v>13425</v>
      </c>
      <c r="L9" s="103">
        <f>K9/$I$12</f>
        <v>0.51179160227178289</v>
      </c>
      <c r="M9" s="16">
        <f>MVTO!K5</f>
        <v>233116.41</v>
      </c>
      <c r="N9" s="103">
        <f>M9/$I$12</f>
        <v>8.8869289377836775</v>
      </c>
      <c r="O9" s="16">
        <f>MVTO!L5</f>
        <v>108332.31</v>
      </c>
      <c r="P9" s="103">
        <f>O9/$I$12</f>
        <v>4.1298746005738165</v>
      </c>
      <c r="Q9" s="16">
        <f>MVTO!M5</f>
        <v>0</v>
      </c>
      <c r="R9" s="103">
        <f>Q9/$G$12</f>
        <v>0</v>
      </c>
      <c r="S9" s="16">
        <f>MVTO!N5</f>
        <v>0</v>
      </c>
      <c r="T9" s="103">
        <f>S9/$G$12</f>
        <v>0</v>
      </c>
      <c r="U9" s="149">
        <f>MVTO!O5</f>
        <v>0</v>
      </c>
      <c r="V9" s="103">
        <f>U9/$G$12</f>
        <v>0</v>
      </c>
      <c r="W9" s="149">
        <f>MVTO!P5</f>
        <v>0</v>
      </c>
      <c r="X9" s="103">
        <f>W9/$G$12</f>
        <v>0</v>
      </c>
      <c r="Y9" s="149">
        <f>MVTO!Q5</f>
        <v>0</v>
      </c>
      <c r="Z9" s="103">
        <f t="shared" ref="Z9" si="3">Y9/$C$12</f>
        <v>0</v>
      </c>
      <c r="AA9" s="16">
        <f t="shared" si="2"/>
        <v>950236.53</v>
      </c>
      <c r="AB9" s="28">
        <f>AA9/$AA$12</f>
        <v>3.791762017382458</v>
      </c>
      <c r="AD9" s="29"/>
      <c r="AE9" s="29"/>
    </row>
    <row r="10" spans="2:31" x14ac:dyDescent="0.25">
      <c r="B10" s="7" t="s">
        <v>138</v>
      </c>
      <c r="C10" s="16">
        <f>MVTO!F6</f>
        <v>0</v>
      </c>
      <c r="D10" s="93">
        <f>C10/$C$12</f>
        <v>0</v>
      </c>
      <c r="E10" s="16">
        <f>MVTO!G6</f>
        <v>173814.62</v>
      </c>
      <c r="F10" s="103">
        <f>E10/$E$12</f>
        <v>4.3278776284727485</v>
      </c>
      <c r="G10" s="16">
        <f>MVTO!H6</f>
        <v>182344.9</v>
      </c>
      <c r="H10" s="103">
        <f>G10/$G$12</f>
        <v>4.7002092534461859</v>
      </c>
      <c r="I10" s="16">
        <f>MVTO!I6</f>
        <v>74940.3</v>
      </c>
      <c r="J10" s="103">
        <f>I10/$I$12</f>
        <v>2.8568950623261147</v>
      </c>
      <c r="K10" s="16">
        <f>MVTO!J6</f>
        <v>12000</v>
      </c>
      <c r="L10" s="103">
        <f>K10/$I$12</f>
        <v>0.45746735398595118</v>
      </c>
      <c r="M10" s="16">
        <f>MVTO!K6</f>
        <v>92193.49</v>
      </c>
      <c r="N10" s="103">
        <f>M10/$I$12</f>
        <v>3.5146259937525208</v>
      </c>
      <c r="O10" s="16">
        <f>MVTO!L6</f>
        <v>162868.32</v>
      </c>
      <c r="P10" s="103">
        <f>O10/$I$12</f>
        <v>6.2089116165447642</v>
      </c>
      <c r="Q10" s="16">
        <f>MVTO!M6</f>
        <v>0</v>
      </c>
      <c r="R10" s="103">
        <f>Q10/$G$12</f>
        <v>0</v>
      </c>
      <c r="S10" s="16">
        <f>MVTO!N6</f>
        <v>0</v>
      </c>
      <c r="T10" s="103">
        <f>S10/$G$12</f>
        <v>0</v>
      </c>
      <c r="U10" s="149">
        <f>MVTO!O6</f>
        <v>0</v>
      </c>
      <c r="V10" s="103">
        <f>U10/$G$12</f>
        <v>0</v>
      </c>
      <c r="W10" s="149">
        <f>MVTO!P6</f>
        <v>0</v>
      </c>
      <c r="X10" s="103">
        <f>W10/$G$12</f>
        <v>0</v>
      </c>
      <c r="Y10" s="149">
        <f>MVTO!Q6</f>
        <v>0</v>
      </c>
      <c r="Z10" s="103">
        <f t="shared" ref="Z10" si="4">Y10/$C$12</f>
        <v>0</v>
      </c>
      <c r="AA10" s="16">
        <f t="shared" si="2"/>
        <v>698161.63000000012</v>
      </c>
      <c r="AB10" s="28">
        <f>AA10/$AA$12</f>
        <v>2.785898738946424</v>
      </c>
      <c r="AD10" s="29"/>
      <c r="AE10" s="29"/>
    </row>
    <row r="11" spans="2:31" ht="15.75" thickBot="1" x14ac:dyDescent="0.3">
      <c r="B11" s="7" t="s">
        <v>151</v>
      </c>
      <c r="C11" s="16">
        <f>MVTO!F7</f>
        <v>0</v>
      </c>
      <c r="D11" s="93">
        <f>C11/$C$12</f>
        <v>0</v>
      </c>
      <c r="E11" s="16">
        <f>MVTO!G7</f>
        <v>100000</v>
      </c>
      <c r="F11" s="103">
        <f>E11/$E$12</f>
        <v>2.4899387798752195</v>
      </c>
      <c r="G11" s="16">
        <f>MVTO!H7</f>
        <v>100000</v>
      </c>
      <c r="H11" s="103">
        <f>G11/$G$12</f>
        <v>2.5776477726803364</v>
      </c>
      <c r="I11" s="16">
        <f>MVTO!I7</f>
        <v>0</v>
      </c>
      <c r="J11" s="103">
        <f>I11/$I$12</f>
        <v>0</v>
      </c>
      <c r="K11" s="16">
        <f>MVTO!J7</f>
        <v>100000</v>
      </c>
      <c r="L11" s="103">
        <f>K11/$I$12</f>
        <v>3.8122279498829261</v>
      </c>
      <c r="M11" s="16">
        <f>MVTO!K7</f>
        <v>50000</v>
      </c>
      <c r="N11" s="103">
        <f>M11/$I$12</f>
        <v>1.9061139749414631</v>
      </c>
      <c r="O11" s="16">
        <f>MVTO!L7</f>
        <v>100000</v>
      </c>
      <c r="P11" s="103">
        <f>O11/$I$12</f>
        <v>3.8122279498829261</v>
      </c>
      <c r="Q11" s="16">
        <f>MVTO!M7</f>
        <v>0</v>
      </c>
      <c r="R11" s="103">
        <f>Q11/$G$12</f>
        <v>0</v>
      </c>
      <c r="S11" s="16">
        <f>MVTO!N7</f>
        <v>0</v>
      </c>
      <c r="T11" s="103">
        <f>S11/$G$12</f>
        <v>0</v>
      </c>
      <c r="U11" s="149">
        <f>MVTO!O7</f>
        <v>0</v>
      </c>
      <c r="V11" s="103">
        <f>U11/$G$12</f>
        <v>0</v>
      </c>
      <c r="W11" s="149">
        <f>MVTO!P7</f>
        <v>0</v>
      </c>
      <c r="X11" s="103"/>
      <c r="Y11" s="149"/>
      <c r="Z11" s="103"/>
      <c r="AA11" s="16">
        <f t="shared" si="2"/>
        <v>450000</v>
      </c>
      <c r="AB11" s="28"/>
      <c r="AD11" s="29"/>
      <c r="AE11" s="29"/>
    </row>
    <row r="12" spans="2:31" ht="15.75" thickBot="1" x14ac:dyDescent="0.3">
      <c r="B12" s="55" t="s">
        <v>73</v>
      </c>
      <c r="C12" s="56">
        <f>C7</f>
        <v>19875.28</v>
      </c>
      <c r="D12" s="94">
        <f>C12/$C$14</f>
        <v>0.13639145078177103</v>
      </c>
      <c r="E12" s="56">
        <f>E7</f>
        <v>40161.629999999997</v>
      </c>
      <c r="F12" s="104">
        <f>E12/$E$14</f>
        <v>2.8001394630388542E-2</v>
      </c>
      <c r="G12" s="56">
        <f>G7</f>
        <v>38795.06</v>
      </c>
      <c r="H12" s="104">
        <f>G12/$G$14</f>
        <v>5.3551349681034879E-2</v>
      </c>
      <c r="I12" s="56">
        <f>I7</f>
        <v>26231.38</v>
      </c>
      <c r="J12" s="104">
        <f>I12/$I$14</f>
        <v>0.22740945106610669</v>
      </c>
      <c r="K12" s="56">
        <f t="shared" ref="K12" si="5">K7</f>
        <v>51183.74</v>
      </c>
      <c r="L12" s="104">
        <f>K12/$I$14</f>
        <v>0.44373060879413612</v>
      </c>
      <c r="M12" s="56">
        <f>M7</f>
        <v>34086.269999999997</v>
      </c>
      <c r="N12" s="104">
        <f>M12/$I$14</f>
        <v>0.29550637250465278</v>
      </c>
      <c r="O12" s="56">
        <f>O7</f>
        <v>40272.17</v>
      </c>
      <c r="P12" s="104">
        <f>O12/$I$14</f>
        <v>0.34913420769097658</v>
      </c>
      <c r="Q12" s="56">
        <f>Q7</f>
        <v>0</v>
      </c>
      <c r="R12" s="104">
        <f>Q12/$G$14</f>
        <v>0</v>
      </c>
      <c r="S12" s="56">
        <f t="shared" ref="S12" si="6">S7</f>
        <v>0</v>
      </c>
      <c r="T12" s="104">
        <f>S12/$G$14</f>
        <v>0</v>
      </c>
      <c r="U12" s="150">
        <f t="shared" ref="U12:W12" si="7">U7</f>
        <v>0</v>
      </c>
      <c r="V12" s="104">
        <f>U12/$G$14</f>
        <v>0</v>
      </c>
      <c r="W12" s="150">
        <f t="shared" si="7"/>
        <v>0</v>
      </c>
      <c r="X12" s="104">
        <f>W12/$G$14</f>
        <v>0</v>
      </c>
      <c r="Y12" s="150">
        <f t="shared" ref="Y12" si="8">Y7</f>
        <v>0</v>
      </c>
      <c r="Z12" s="104">
        <f t="shared" ref="Z12:Z13" si="9">Y12/$C$14</f>
        <v>0</v>
      </c>
      <c r="AA12" s="56">
        <f t="shared" si="2"/>
        <v>250605.52999999997</v>
      </c>
      <c r="AB12" s="57">
        <f>AA12/$AA$14</f>
        <v>6.7767669410621623E-2</v>
      </c>
      <c r="AD12" s="29"/>
      <c r="AE12" s="29"/>
    </row>
    <row r="13" spans="2:31" ht="15.75" thickBot="1" x14ac:dyDescent="0.3">
      <c r="B13" s="55" t="s">
        <v>75</v>
      </c>
      <c r="C13" s="58">
        <f>SUM(C8:C11)</f>
        <v>125847.05</v>
      </c>
      <c r="D13" s="94">
        <f>C13/$C$14</f>
        <v>0.86360854921822883</v>
      </c>
      <c r="E13" s="58">
        <f>SUM(E8:E11)</f>
        <v>1394110.8599999999</v>
      </c>
      <c r="F13" s="104">
        <f>E13/$E$14</f>
        <v>0.97199860536961158</v>
      </c>
      <c r="G13" s="58">
        <f>SUM(G8:G11)</f>
        <v>685650.92</v>
      </c>
      <c r="H13" s="104">
        <f>G13/$G$14</f>
        <v>0.94644865031896519</v>
      </c>
      <c r="I13" s="58">
        <f>SUM(I8:I11)</f>
        <v>89117.3</v>
      </c>
      <c r="J13" s="104">
        <f>I13/$I$14</f>
        <v>0.77259054893389323</v>
      </c>
      <c r="K13" s="58">
        <f>SUM(K8:K11)</f>
        <v>346167.97</v>
      </c>
      <c r="L13" s="104">
        <f>K13/$I$14</f>
        <v>3.0010570558761485</v>
      </c>
      <c r="M13" s="58">
        <f>SUM(M8:M11)</f>
        <v>415309.9</v>
      </c>
      <c r="N13" s="104">
        <f>M13/$I$14</f>
        <v>3.6004737982263864</v>
      </c>
      <c r="O13" s="58">
        <f>SUM(O8:O11)</f>
        <v>391200.63</v>
      </c>
      <c r="P13" s="104">
        <f>O13/$I$14</f>
        <v>3.3914616968308606</v>
      </c>
      <c r="Q13" s="58">
        <f>SUM(Q8:Q11)</f>
        <v>0</v>
      </c>
      <c r="R13" s="104">
        <f>Q13/$G$14</f>
        <v>0</v>
      </c>
      <c r="S13" s="58">
        <f>SUM(S8:S11)</f>
        <v>0</v>
      </c>
      <c r="T13" s="104">
        <f>S13/$G$14</f>
        <v>0</v>
      </c>
      <c r="U13" s="151">
        <f>SUM(U8:U11)</f>
        <v>0</v>
      </c>
      <c r="V13" s="104">
        <f>U13/$G$14</f>
        <v>0</v>
      </c>
      <c r="W13" s="151">
        <f>SUM(W8:W11)</f>
        <v>0</v>
      </c>
      <c r="X13" s="104">
        <f>W13/$G$14</f>
        <v>0</v>
      </c>
      <c r="Y13" s="151">
        <f>SUM(Y8:Y11)</f>
        <v>0</v>
      </c>
      <c r="Z13" s="104">
        <f t="shared" si="9"/>
        <v>0</v>
      </c>
      <c r="AA13" s="58">
        <f t="shared" si="2"/>
        <v>3447404.6299999994</v>
      </c>
      <c r="AB13" s="57">
        <f>AA13/$AA$14</f>
        <v>0.93223233058937827</v>
      </c>
      <c r="AD13" s="29"/>
      <c r="AE13" s="29"/>
    </row>
    <row r="14" spans="2:31" ht="15.75" thickBot="1" x14ac:dyDescent="0.3">
      <c r="B14" s="55" t="s">
        <v>74</v>
      </c>
      <c r="C14" s="56">
        <f>SUM(C12:C13)</f>
        <v>145722.33000000002</v>
      </c>
      <c r="D14" s="94">
        <f>SUM(D12:D13)</f>
        <v>0.99999999999999989</v>
      </c>
      <c r="E14" s="56">
        <f>SUM(E12:E13)</f>
        <v>1434272.4899999998</v>
      </c>
      <c r="F14" s="104">
        <f>SUM(F12:F13)</f>
        <v>1.0000000000000002</v>
      </c>
      <c r="G14" s="56">
        <f t="shared" ref="G14" si="10">SUM(G12:G13)</f>
        <v>724445.98</v>
      </c>
      <c r="H14" s="104">
        <f>SUM(H12:H13)</f>
        <v>1</v>
      </c>
      <c r="I14" s="56">
        <f>SUM(I12:I13)</f>
        <v>115348.68000000001</v>
      </c>
      <c r="J14" s="104">
        <f>SUM(J12:J13)</f>
        <v>0.99999999999999989</v>
      </c>
      <c r="K14" s="56">
        <f>SUM(K12:K13)</f>
        <v>397351.70999999996</v>
      </c>
      <c r="L14" s="104">
        <f>SUM(L12:L13)</f>
        <v>3.4447876646702844</v>
      </c>
      <c r="M14" s="56">
        <f>SUM(M12:M13)</f>
        <v>449396.17000000004</v>
      </c>
      <c r="N14" s="104">
        <f>SUM(N12:N13)</f>
        <v>3.8959801707310393</v>
      </c>
      <c r="O14" s="56">
        <f t="shared" ref="M14:O14" si="11">SUM(O12:O13)</f>
        <v>431472.8</v>
      </c>
      <c r="P14" s="104">
        <f>SUM(P12:P13)</f>
        <v>3.7405959045218373</v>
      </c>
      <c r="Q14" s="56">
        <f t="shared" ref="Q14" si="12">SUM(Q12:Q13)</f>
        <v>0</v>
      </c>
      <c r="R14" s="104">
        <f>SUM(R12:R13)</f>
        <v>0</v>
      </c>
      <c r="S14" s="56">
        <f>SUM(S12:S13)</f>
        <v>0</v>
      </c>
      <c r="T14" s="104">
        <f>SUM(T12:T13)</f>
        <v>0</v>
      </c>
      <c r="U14" s="150">
        <f>SUM(U12:U13)</f>
        <v>0</v>
      </c>
      <c r="V14" s="104">
        <f>SUM(V12:V13)</f>
        <v>0</v>
      </c>
      <c r="W14" s="150">
        <f t="shared" ref="W14" si="13">SUM(W12:W13)</f>
        <v>0</v>
      </c>
      <c r="X14" s="104">
        <f>SUM(X12:X13)</f>
        <v>0</v>
      </c>
      <c r="Y14" s="150">
        <f t="shared" ref="Y14" si="14">SUM(Y12:Y13)</f>
        <v>0</v>
      </c>
      <c r="Z14" s="104">
        <f t="shared" ref="Z14" si="15">SUM(Z12:Z13)</f>
        <v>0</v>
      </c>
      <c r="AA14" s="56">
        <f t="shared" si="2"/>
        <v>3698010.1599999997</v>
      </c>
      <c r="AB14" s="57">
        <f t="shared" ref="AB14" si="16">SUM(AB12:AB13)</f>
        <v>0.99999999999999989</v>
      </c>
      <c r="AD14" s="29"/>
      <c r="AE14" s="29"/>
    </row>
    <row r="15" spans="2:31" x14ac:dyDescent="0.25">
      <c r="B15" s="5" t="s">
        <v>77</v>
      </c>
      <c r="C15" s="17">
        <f>SUMIF(MVTO!$C$3:$C$72,"Imp_Receita",MVTO!$F$3:$F$72)</f>
        <v>20540.010000000002</v>
      </c>
      <c r="D15" s="95">
        <f>C15/$C$14</f>
        <v>0.14095307150249381</v>
      </c>
      <c r="E15" s="17">
        <f>SUMIF(MVTO!$C$3:$C$72,"Imp_Receita",MVTO!$G$3:$G$72)</f>
        <v>18169.349999999999</v>
      </c>
      <c r="F15" s="105">
        <f t="shared" ref="F15:F27" si="17">E15/$E$14</f>
        <v>1.2667990306360824E-2</v>
      </c>
      <c r="G15" s="17">
        <f>SUMIF(MVTO!$C$3:$C$72,"Imp_Receita",MVTO!$H$3:$H$72)</f>
        <v>17598.969999999998</v>
      </c>
      <c r="H15" s="105">
        <f t="shared" ref="H15:H27" si="18">G15/$G$14</f>
        <v>2.4293005256237322E-2</v>
      </c>
      <c r="I15" s="17">
        <f>SUMIF(MVTO!$C$3:$C$72,"Imp_Receita",MVTO!$I$3:$I$72)</f>
        <v>18497.11</v>
      </c>
      <c r="J15" s="105">
        <f t="shared" ref="J15:J27" si="19">I15/$I$14</f>
        <v>0.16035822863339225</v>
      </c>
      <c r="K15" s="17">
        <f>SUMIF(MVTO!$C$3:$C$72,"Imp_Receita",MVTO!$J$3:$J$72)</f>
        <v>18618.72</v>
      </c>
      <c r="L15" s="105">
        <f t="shared" ref="L15:L27" si="20">K15/$I$14</f>
        <v>0.16141251031221163</v>
      </c>
      <c r="M15" s="17">
        <f>SUMIF(MVTO!$C$3:$C$72,"Imp_Receita",MVTO!$K$3:$K$72)</f>
        <v>18723.36</v>
      </c>
      <c r="N15" s="105">
        <f t="shared" ref="N15:N27" si="21">M15/$I$14</f>
        <v>0.16231967283890894</v>
      </c>
      <c r="O15" s="17">
        <f>SUMIF(MVTO!$C$3:$C$72,"Imp_Receita",MVTO!$L$3:$L$72)</f>
        <v>17509.599999999999</v>
      </c>
      <c r="P15" s="105">
        <f t="shared" ref="P15:P27" si="22">O15/$I$14</f>
        <v>0.15179714236868594</v>
      </c>
      <c r="Q15" s="17">
        <f>SUMIF(MVTO!$C$3:$C$72,"Imp_Receita",MVTO!$M$3:$M$72)</f>
        <v>0</v>
      </c>
      <c r="R15" s="105">
        <f t="shared" ref="R15:R27" si="23">Q15/$G$14</f>
        <v>0</v>
      </c>
      <c r="S15" s="17">
        <f>SUMIF(MVTO!$C$3:$C$72,"Imp_Receita",MVTO!$N$3:$N$72)</f>
        <v>0</v>
      </c>
      <c r="T15" s="105">
        <f t="shared" ref="T15:X27" si="24">S15/$G$14</f>
        <v>0</v>
      </c>
      <c r="U15" s="152">
        <f>SUMIF(MVTO!$C$3:$C$72,"Imp_Receita",MVTO!$O$3:$O$72)</f>
        <v>0</v>
      </c>
      <c r="V15" s="105">
        <f t="shared" si="24"/>
        <v>0</v>
      </c>
      <c r="W15" s="152">
        <f>SUMIF(MVTO!$C$3:$C$72,"Imp_Receita",MVTO!$P$3:$P$72)</f>
        <v>0</v>
      </c>
      <c r="X15" s="105">
        <f t="shared" si="24"/>
        <v>0</v>
      </c>
      <c r="Y15" s="152">
        <f>SUMIF(MVTO!$C$3:$C$72,"Imp_Receita",MVTO!$Q$3:$Q$72)</f>
        <v>0</v>
      </c>
      <c r="Z15" s="105">
        <f t="shared" ref="Z15:Z18" si="25">Y15/$C$14</f>
        <v>0</v>
      </c>
      <c r="AA15" s="17">
        <f t="shared" si="2"/>
        <v>129657.12</v>
      </c>
      <c r="AB15" s="23">
        <f t="shared" ref="AB15:AB27" si="26">AA15/$AA$14</f>
        <v>3.5061320653591715E-2</v>
      </c>
      <c r="AD15" s="29"/>
      <c r="AE15" s="29"/>
    </row>
    <row r="16" spans="2:31" ht="15.75" thickBot="1" x14ac:dyDescent="0.3">
      <c r="B16" s="5" t="s">
        <v>139</v>
      </c>
      <c r="C16" s="17">
        <f>SUMIF(MVTO!$C$3:$C$72,"Rec_Despesa",MVTO!$F$3:$F$72)</f>
        <v>0</v>
      </c>
      <c r="D16" s="95">
        <f>C16/$C$14</f>
        <v>0</v>
      </c>
      <c r="E16" s="17">
        <f>SUMIF(MVTO!$C$3:$C$72,"Rec_Despesa",MVTO!$G$3:$G$72)</f>
        <v>0</v>
      </c>
      <c r="F16" s="105">
        <f t="shared" si="17"/>
        <v>0</v>
      </c>
      <c r="G16" s="17">
        <f>SUMIF(MVTO!$C$3:$C$72,"Rec_Despesa",MVTO!$H$3:$H$72)</f>
        <v>0</v>
      </c>
      <c r="H16" s="105">
        <f t="shared" si="18"/>
        <v>0</v>
      </c>
      <c r="I16" s="17">
        <f>SUMIF(MVTO!$C$3:$C$72,"Rec_Despesa",MVTO!$I$3:$I$72)</f>
        <v>0</v>
      </c>
      <c r="J16" s="105">
        <f t="shared" si="19"/>
        <v>0</v>
      </c>
      <c r="K16" s="17">
        <f>SUMIF(MVTO!$C$3:$C$72,"Rec_Despesa",MVTO!$J$3:$J$72)</f>
        <v>0</v>
      </c>
      <c r="L16" s="105">
        <f t="shared" si="20"/>
        <v>0</v>
      </c>
      <c r="M16" s="17">
        <f>SUMIF(MVTO!$C$3:$C$72,"Rec_Despesa",MVTO!$K$3:$K$72)</f>
        <v>0</v>
      </c>
      <c r="N16" s="105">
        <f t="shared" si="21"/>
        <v>0</v>
      </c>
      <c r="O16" s="17">
        <f>SUMIF(MVTO!$C$3:$C$72,"Rec_Despesa",MVTO!$L$3:$L$72)</f>
        <v>0</v>
      </c>
      <c r="P16" s="105">
        <f t="shared" si="22"/>
        <v>0</v>
      </c>
      <c r="Q16" s="17">
        <f>SUMIF(MVTO!$C$3:$C$72,"Rec_Despesa",MVTO!$M$3:$M$72)</f>
        <v>0</v>
      </c>
      <c r="R16" s="105">
        <f t="shared" si="23"/>
        <v>0</v>
      </c>
      <c r="S16" s="17">
        <f>SUMIF(MVTO!$C$3:$C$72,"Rec_Despesa",MVTO!$N$3:$N$72)</f>
        <v>0</v>
      </c>
      <c r="T16" s="105">
        <f t="shared" si="24"/>
        <v>0</v>
      </c>
      <c r="U16" s="152">
        <f>SUMIF(MVTO!$C$3:$C$72,"Rec_Despesa",MVTO!$O$3:$O$72)</f>
        <v>0</v>
      </c>
      <c r="V16" s="105">
        <f t="shared" si="24"/>
        <v>0</v>
      </c>
      <c r="W16" s="152">
        <f>SUMIF(MVTO!$C$3:$C$72,"Rec_Despesa",MVTO!$P$3:$P$72)</f>
        <v>0</v>
      </c>
      <c r="X16" s="105">
        <f t="shared" si="24"/>
        <v>0</v>
      </c>
      <c r="Y16" s="152">
        <f>SUMIF(MVTO!$C$3:$C$72,"Rec_Despesa",MVTO!$Q$3:$Q$72)</f>
        <v>0</v>
      </c>
      <c r="Z16" s="105">
        <f t="shared" si="25"/>
        <v>0</v>
      </c>
      <c r="AA16" s="17">
        <f t="shared" si="2"/>
        <v>0</v>
      </c>
      <c r="AB16" s="23">
        <f t="shared" si="26"/>
        <v>0</v>
      </c>
      <c r="AD16" s="29"/>
      <c r="AE16" s="29"/>
    </row>
    <row r="17" spans="2:155" ht="15.75" thickBot="1" x14ac:dyDescent="0.3">
      <c r="B17" s="8" t="s">
        <v>76</v>
      </c>
      <c r="C17" s="19">
        <f>C14-C15+C16</f>
        <v>125182.32</v>
      </c>
      <c r="D17" s="96">
        <f>C17/$C$14</f>
        <v>0.85904692849750608</v>
      </c>
      <c r="E17" s="19">
        <f t="shared" ref="E17" si="27">E14-E15+E16</f>
        <v>1416103.1399999997</v>
      </c>
      <c r="F17" s="106">
        <f t="shared" si="17"/>
        <v>0.9873320096936391</v>
      </c>
      <c r="G17" s="19">
        <f t="shared" ref="G17" si="28">G14-G15+G16</f>
        <v>706847.01</v>
      </c>
      <c r="H17" s="106">
        <f t="shared" si="18"/>
        <v>0.97570699474376277</v>
      </c>
      <c r="I17" s="19">
        <f>I14-I15+I16</f>
        <v>96851.57</v>
      </c>
      <c r="J17" s="106">
        <f t="shared" si="19"/>
        <v>0.83964177136660778</v>
      </c>
      <c r="K17" s="19">
        <f t="shared" ref="K17" si="29">K14-K15+K16</f>
        <v>378732.99</v>
      </c>
      <c r="L17" s="106">
        <f t="shared" si="20"/>
        <v>3.2833751543580729</v>
      </c>
      <c r="M17" s="19">
        <f t="shared" ref="M17:O17" si="30">M14-M15+M16</f>
        <v>430672.81000000006</v>
      </c>
      <c r="N17" s="106">
        <f t="shared" si="21"/>
        <v>3.7336604978921306</v>
      </c>
      <c r="O17" s="19">
        <f t="shared" si="30"/>
        <v>413963.2</v>
      </c>
      <c r="P17" s="106">
        <f t="shared" si="22"/>
        <v>3.5887987621531514</v>
      </c>
      <c r="Q17" s="19">
        <f t="shared" ref="Q17:S17" si="31">Q14-Q15+Q16</f>
        <v>0</v>
      </c>
      <c r="R17" s="106">
        <f t="shared" si="23"/>
        <v>0</v>
      </c>
      <c r="S17" s="19">
        <f t="shared" si="31"/>
        <v>0</v>
      </c>
      <c r="T17" s="106">
        <f t="shared" si="24"/>
        <v>0</v>
      </c>
      <c r="U17" s="153">
        <f t="shared" ref="U17:W17" si="32">U14-U15+U16</f>
        <v>0</v>
      </c>
      <c r="V17" s="106">
        <f t="shared" si="24"/>
        <v>0</v>
      </c>
      <c r="W17" s="153">
        <f t="shared" si="32"/>
        <v>0</v>
      </c>
      <c r="X17" s="106">
        <f t="shared" si="24"/>
        <v>0</v>
      </c>
      <c r="Y17" s="153">
        <f t="shared" ref="Y17" si="33">Y14-Y15+Y16</f>
        <v>0</v>
      </c>
      <c r="Z17" s="106">
        <f t="shared" si="25"/>
        <v>0</v>
      </c>
      <c r="AA17" s="19">
        <f t="shared" si="2"/>
        <v>3568353.0399999996</v>
      </c>
      <c r="AB17" s="24">
        <f t="shared" si="26"/>
        <v>0.9649386793464082</v>
      </c>
      <c r="AD17" s="29"/>
      <c r="AE17" s="29"/>
    </row>
    <row r="18" spans="2:155" ht="15.75" thickBot="1" x14ac:dyDescent="0.3">
      <c r="B18" s="9" t="s">
        <v>80</v>
      </c>
      <c r="C18" s="20">
        <f>SUM(C19:C24)</f>
        <v>58258.9</v>
      </c>
      <c r="D18" s="97">
        <f>C18/$C$14</f>
        <v>0.39979390941662812</v>
      </c>
      <c r="E18" s="91">
        <f t="shared" ref="E18" si="34">SUM(E19:E24)</f>
        <v>93360.549999999988</v>
      </c>
      <c r="F18" s="107">
        <f t="shared" si="17"/>
        <v>6.5092617093980523E-2</v>
      </c>
      <c r="G18" s="91">
        <f t="shared" ref="G18" si="35">SUM(G19:G24)</f>
        <v>73693.08</v>
      </c>
      <c r="H18" s="107">
        <f t="shared" si="18"/>
        <v>0.10172336107103529</v>
      </c>
      <c r="I18" s="91">
        <f>SUM(I19:I24)</f>
        <v>64229.990000000005</v>
      </c>
      <c r="J18" s="107">
        <f t="shared" si="19"/>
        <v>0.55683333350672071</v>
      </c>
      <c r="K18" s="91">
        <f t="shared" ref="K18" si="36">SUM(K19:K24)</f>
        <v>73113.22</v>
      </c>
      <c r="L18" s="107">
        <f t="shared" si="20"/>
        <v>0.63384531145046474</v>
      </c>
      <c r="M18" s="91">
        <f t="shared" ref="M18:O18" si="37">SUM(M19:M24)</f>
        <v>76137.62999999999</v>
      </c>
      <c r="N18" s="107">
        <f t="shared" si="21"/>
        <v>0.66006503065314648</v>
      </c>
      <c r="O18" s="91">
        <f t="shared" si="37"/>
        <v>65424.67</v>
      </c>
      <c r="P18" s="107">
        <f t="shared" si="22"/>
        <v>0.56719045246118116</v>
      </c>
      <c r="Q18" s="91">
        <f t="shared" ref="Q18:S18" si="38">SUM(Q19:Q24)</f>
        <v>0</v>
      </c>
      <c r="R18" s="107">
        <f t="shared" si="23"/>
        <v>0</v>
      </c>
      <c r="S18" s="91">
        <f t="shared" si="38"/>
        <v>0</v>
      </c>
      <c r="T18" s="107">
        <f t="shared" si="24"/>
        <v>0</v>
      </c>
      <c r="U18" s="154">
        <f t="shared" ref="U18:W18" si="39">SUM(U19:U24)</f>
        <v>0</v>
      </c>
      <c r="V18" s="107">
        <f t="shared" si="24"/>
        <v>0</v>
      </c>
      <c r="W18" s="154">
        <f t="shared" si="39"/>
        <v>0</v>
      </c>
      <c r="X18" s="107">
        <f t="shared" si="24"/>
        <v>0</v>
      </c>
      <c r="Y18" s="154">
        <f t="shared" ref="Y18" si="40">SUM(Y19:Y24)</f>
        <v>0</v>
      </c>
      <c r="Z18" s="107">
        <f t="shared" si="25"/>
        <v>0</v>
      </c>
      <c r="AA18" s="91">
        <f t="shared" si="2"/>
        <v>504218.04</v>
      </c>
      <c r="AB18" s="25">
        <f t="shared" si="26"/>
        <v>0.13634847341793135</v>
      </c>
      <c r="AD18" s="29"/>
      <c r="AE18" s="29"/>
    </row>
    <row r="19" spans="2:155" x14ac:dyDescent="0.25">
      <c r="B19" s="10" t="s">
        <v>81</v>
      </c>
      <c r="C19" s="17">
        <f>SUMIF(MVTO!$C$3:$C$72,"Aluguel",MVTO!$F$3:$F$72)</f>
        <v>56764</v>
      </c>
      <c r="D19" s="95">
        <f t="shared" ref="D19:D24" si="41">C19/$C$14</f>
        <v>0.38953535810194628</v>
      </c>
      <c r="E19" s="17">
        <f>SUMIF(MVTO!$C$3:$C$72,"Aluguel",MVTO!$G$3:$G$72)</f>
        <v>57185</v>
      </c>
      <c r="F19" s="105">
        <f t="shared" si="17"/>
        <v>3.9870387530057144E-2</v>
      </c>
      <c r="G19" s="17">
        <f>SUMIF(MVTO!$C$3:$C$72,"Aluguel",MVTO!$H$3:$H$72)</f>
        <v>57185</v>
      </c>
      <c r="H19" s="105">
        <f t="shared" si="18"/>
        <v>7.8936182377601152E-2</v>
      </c>
      <c r="I19" s="17">
        <f>SUMIF(MVTO!$C$3:$C$72,"Aluguel",MVTO!$I$3:$I$72)</f>
        <v>57185</v>
      </c>
      <c r="J19" s="105">
        <f t="shared" si="19"/>
        <v>0.49575773212142521</v>
      </c>
      <c r="K19" s="17">
        <f>SUMIF(MVTO!$C$3:$C$72,"Aluguel",MVTO!$J$3:$J$72)</f>
        <v>57251</v>
      </c>
      <c r="L19" s="105">
        <f t="shared" si="20"/>
        <v>0.49632991032060353</v>
      </c>
      <c r="M19" s="17">
        <f>SUMIF(MVTO!$C$3:$C$72,"Aluguel",MVTO!$K$3:$K$72)</f>
        <v>57251</v>
      </c>
      <c r="N19" s="105">
        <f t="shared" si="21"/>
        <v>0.49632991032060353</v>
      </c>
      <c r="O19" s="17">
        <f>SUMIF(MVTO!$C$3:$C$72,"Aluguel",MVTO!$L$3:$L$72)</f>
        <v>57251</v>
      </c>
      <c r="P19" s="105">
        <f t="shared" si="22"/>
        <v>0.49632991032060353</v>
      </c>
      <c r="Q19" s="17">
        <f>SUMIF(MVTO!$C$3:$C$72,"Aluguel",MVTO!$M$3:$M$72)</f>
        <v>0</v>
      </c>
      <c r="R19" s="105">
        <f t="shared" si="23"/>
        <v>0</v>
      </c>
      <c r="S19" s="17">
        <f>SUMIF(MVTO!$C$3:$C$72,"Aluguel",MVTO!$N$3:$N$72)</f>
        <v>0</v>
      </c>
      <c r="T19" s="105">
        <f t="shared" si="24"/>
        <v>0</v>
      </c>
      <c r="U19" s="152">
        <f>SUMIF(MVTO!$C$3:$C$72,"Aluguel",MVTO!$O$3:$O$72)</f>
        <v>0</v>
      </c>
      <c r="V19" s="105">
        <f t="shared" si="24"/>
        <v>0</v>
      </c>
      <c r="W19" s="152">
        <f>SUMIF(MVTO!$C$3:$C$72,"Aluguel",MVTO!$P$3:$P$72)</f>
        <v>0</v>
      </c>
      <c r="X19" s="105">
        <f t="shared" si="24"/>
        <v>0</v>
      </c>
      <c r="Y19" s="152">
        <f>SUMIF(MVTO!$C$3:$C$72,"Aluguel",MVTO!$Q$3:$Q$72)</f>
        <v>0</v>
      </c>
      <c r="Z19" s="105">
        <f t="shared" ref="Z19" si="42">Y19/$C$14</f>
        <v>0</v>
      </c>
      <c r="AA19" s="17">
        <f t="shared" si="2"/>
        <v>400072</v>
      </c>
      <c r="AB19" s="23">
        <f t="shared" si="26"/>
        <v>0.10818574927874185</v>
      </c>
      <c r="AD19" s="29"/>
      <c r="AE19" s="29"/>
    </row>
    <row r="20" spans="2:155" x14ac:dyDescent="0.25">
      <c r="B20" s="10" t="s">
        <v>82</v>
      </c>
      <c r="C20" s="17">
        <f>SUMIF(MVTO!$C$3:$C$72,"Tributário",MVTO!$F$3:$F$72)</f>
        <v>307.8</v>
      </c>
      <c r="D20" s="95">
        <f t="shared" si="41"/>
        <v>2.1122363333059523E-3</v>
      </c>
      <c r="E20" s="17">
        <f>SUMIF(MVTO!$C$3:$C$72,"Tributário",MVTO!$G$3:$G$72)</f>
        <v>14959.05</v>
      </c>
      <c r="F20" s="105">
        <f t="shared" si="17"/>
        <v>1.042971269706219E-2</v>
      </c>
      <c r="G20" s="17">
        <f>SUMIF(MVTO!$C$3:$C$72,"Tributário",MVTO!$H$3:$H$72)</f>
        <v>8131.25</v>
      </c>
      <c r="H20" s="105">
        <f t="shared" si="18"/>
        <v>1.1224094307211146E-2</v>
      </c>
      <c r="I20" s="17">
        <f>SUMIF(MVTO!$C$3:$C$72,"Tributário",MVTO!$I$3:$I$72)</f>
        <v>56.5</v>
      </c>
      <c r="J20" s="105">
        <f t="shared" si="19"/>
        <v>4.8981921596328627E-4</v>
      </c>
      <c r="K20" s="17">
        <f>SUMIF(MVTO!$C$3:$C$72,"Tributário",MVTO!$J$3:$J$72)</f>
        <v>10741.77</v>
      </c>
      <c r="L20" s="105">
        <f t="shared" si="20"/>
        <v>9.3124342645273445E-2</v>
      </c>
      <c r="M20" s="17">
        <f>SUMIF(MVTO!$C$3:$C$72,"Tributário",MVTO!$K$3:$K$72)</f>
        <v>11410.06</v>
      </c>
      <c r="N20" s="105">
        <f t="shared" si="21"/>
        <v>9.8917993686620423E-2</v>
      </c>
      <c r="O20" s="17">
        <f>SUMIF(MVTO!$C$3:$C$72,"Tributário",MVTO!$L$3:$L$72)</f>
        <v>2666.7900000000004</v>
      </c>
      <c r="P20" s="105">
        <f t="shared" si="22"/>
        <v>2.3119380299800572E-2</v>
      </c>
      <c r="Q20" s="17">
        <f>SUMIF(MVTO!$C$3:$C$72,"Tributário",MVTO!$M$3:$M$72)</f>
        <v>0</v>
      </c>
      <c r="R20" s="105">
        <f t="shared" si="23"/>
        <v>0</v>
      </c>
      <c r="S20" s="17">
        <f>SUMIF(MVTO!$C$3:$C$72,"Tributário",MVTO!$N$3:$N$72)</f>
        <v>0</v>
      </c>
      <c r="T20" s="105">
        <f t="shared" si="24"/>
        <v>0</v>
      </c>
      <c r="U20" s="152">
        <f>SUMIF(MVTO!$C$3:$C$72,"Tributário",MVTO!$O$3:$O$72)</f>
        <v>0</v>
      </c>
      <c r="V20" s="105">
        <f t="shared" si="24"/>
        <v>0</v>
      </c>
      <c r="W20" s="152">
        <f>SUMIF(MVTO!$C$3:$C$72,"Tributário",MVTO!$P$3:$P$72)</f>
        <v>0</v>
      </c>
      <c r="X20" s="105">
        <f t="shared" si="24"/>
        <v>0</v>
      </c>
      <c r="Y20" s="152">
        <f>SUMIF(MVTO!$C$3:$C$72,"Tributário",MVTO!$Q$3:$Q$72)</f>
        <v>0</v>
      </c>
      <c r="Z20" s="105">
        <f t="shared" ref="Z20" si="43">Y20/$C$14</f>
        <v>0</v>
      </c>
      <c r="AA20" s="17">
        <f t="shared" si="2"/>
        <v>48273.219999999994</v>
      </c>
      <c r="AB20" s="23">
        <f t="shared" si="26"/>
        <v>1.3053836498924059E-2</v>
      </c>
      <c r="AD20" s="29"/>
      <c r="AE20" s="29"/>
      <c r="EY20" s="4" t="s">
        <v>169</v>
      </c>
    </row>
    <row r="21" spans="2:155" x14ac:dyDescent="0.25">
      <c r="B21" s="10" t="s">
        <v>88</v>
      </c>
      <c r="C21" s="17">
        <f>SUMIF(MVTO!$C$3:$C$72,"Água",MVTO!$F$3:$F$72)</f>
        <v>900.1</v>
      </c>
      <c r="D21" s="95">
        <f t="shared" si="41"/>
        <v>6.1768158661750739E-3</v>
      </c>
      <c r="E21" s="17">
        <f>SUMIF(MVTO!$C$3:$C$72,"Água",MVTO!$G$3:$G$72)</f>
        <v>1447.43</v>
      </c>
      <c r="F21" s="105">
        <f t="shared" si="17"/>
        <v>1.0091736473311289E-3</v>
      </c>
      <c r="G21" s="17">
        <f>SUMIF(MVTO!$C$3:$C$72,"Água",MVTO!$H$3:$H$72)</f>
        <v>984.75</v>
      </c>
      <c r="H21" s="105">
        <f t="shared" si="18"/>
        <v>1.3593146034159788E-3</v>
      </c>
      <c r="I21" s="17">
        <f>SUMIF(MVTO!$C$3:$C$72,"Água",MVTO!$I$3:$I$72)</f>
        <v>1022.8</v>
      </c>
      <c r="J21" s="105">
        <f t="shared" si="19"/>
        <v>8.8670282139336129E-3</v>
      </c>
      <c r="K21" s="17">
        <f>SUMIF(MVTO!$C$3:$C$72,"Água",MVTO!$J$3:$J$72)</f>
        <v>767.55</v>
      </c>
      <c r="L21" s="105">
        <f t="shared" si="20"/>
        <v>6.6541723754446076E-3</v>
      </c>
      <c r="M21" s="17">
        <f>SUMIF(MVTO!$C$3:$C$72,"Água",MVTO!$K$3:$K$72)</f>
        <v>1670.95</v>
      </c>
      <c r="N21" s="105">
        <f t="shared" si="21"/>
        <v>1.4486078210864659E-2</v>
      </c>
      <c r="O21" s="17">
        <f>SUMIF(MVTO!$C$3:$C$72,"Água",MVTO!$L$3:$L$72)</f>
        <v>1314.24</v>
      </c>
      <c r="P21" s="105">
        <f t="shared" si="22"/>
        <v>1.1393628431638748E-2</v>
      </c>
      <c r="Q21" s="17">
        <f>SUMIF(MVTO!$C$3:$C$72,"Água",MVTO!$M$3:$M$72)</f>
        <v>0</v>
      </c>
      <c r="R21" s="105">
        <f t="shared" si="23"/>
        <v>0</v>
      </c>
      <c r="S21" s="17">
        <f>SUMIF(MVTO!$C$3:$C$72,"Água",MVTO!$N$3:$N$72)</f>
        <v>0</v>
      </c>
      <c r="T21" s="105">
        <f t="shared" si="24"/>
        <v>0</v>
      </c>
      <c r="U21" s="152">
        <f>SUMIF(MVTO!$C$3:$C$72,"Água",MVTO!$O$3:$O$72)</f>
        <v>0</v>
      </c>
      <c r="V21" s="105">
        <f t="shared" si="24"/>
        <v>0</v>
      </c>
      <c r="W21" s="152">
        <f>SUMIF(MVTO!$C$3:$C$72,"Água",MVTO!$P$3:$P$72)</f>
        <v>0</v>
      </c>
      <c r="X21" s="105">
        <f t="shared" si="24"/>
        <v>0</v>
      </c>
      <c r="Y21" s="152">
        <f>SUMIF(MVTO!$C$3:$C$72,"Água",MVTO!$Q$3:$Q$72)</f>
        <v>0</v>
      </c>
      <c r="Z21" s="105">
        <f t="shared" ref="Z21" si="44">Y21/$C$14</f>
        <v>0</v>
      </c>
      <c r="AA21" s="17">
        <f t="shared" si="2"/>
        <v>8107.82</v>
      </c>
      <c r="AB21" s="23">
        <f t="shared" si="26"/>
        <v>2.1924818075675597E-3</v>
      </c>
      <c r="AD21" s="29"/>
      <c r="AE21" s="29"/>
    </row>
    <row r="22" spans="2:155" x14ac:dyDescent="0.25">
      <c r="B22" s="10" t="s">
        <v>89</v>
      </c>
      <c r="C22" s="17">
        <f>SUMIF(MVTO!$C$3:$C$72,"Dep_Judicial",MVTO!$F$3:$F$72)</f>
        <v>0</v>
      </c>
      <c r="D22" s="95">
        <f t="shared" si="41"/>
        <v>0</v>
      </c>
      <c r="E22" s="17">
        <f>SUMIF(MVTO!$C$3:$C$72,"Dep_Judicial",MVTO!$G$3:$G$72)</f>
        <v>0</v>
      </c>
      <c r="F22" s="105">
        <f t="shared" si="17"/>
        <v>0</v>
      </c>
      <c r="G22" s="17">
        <f>SUMIF(MVTO!$C$3:$C$72,"Dep_Judicial",MVTO!$H$3:$H$72)</f>
        <v>0</v>
      </c>
      <c r="H22" s="105">
        <f t="shared" si="18"/>
        <v>0</v>
      </c>
      <c r="I22" s="17">
        <f>SUMIF(MVTO!$C$3:$C$72,"Dep_Judicial",MVTO!$I$3:$I$72)</f>
        <v>0</v>
      </c>
      <c r="J22" s="105">
        <f t="shared" si="19"/>
        <v>0</v>
      </c>
      <c r="K22" s="17">
        <f>SUMIF(MVTO!$C$3:$C$72,"Dep_Judicial",MVTO!$J$3:$J$72)</f>
        <v>0</v>
      </c>
      <c r="L22" s="105">
        <f t="shared" si="20"/>
        <v>0</v>
      </c>
      <c r="M22" s="17">
        <f>SUMIF(MVTO!$C$3:$C$72,"Dep_Judicial",MVTO!$K$3:$K$72)</f>
        <v>0</v>
      </c>
      <c r="N22" s="105">
        <f t="shared" si="21"/>
        <v>0</v>
      </c>
      <c r="O22" s="17">
        <f>SUMIF(MVTO!$C$3:$C$72,"Dep_Judicial",MVTO!$L$3:$L$72)</f>
        <v>0</v>
      </c>
      <c r="P22" s="105">
        <f t="shared" si="22"/>
        <v>0</v>
      </c>
      <c r="Q22" s="17">
        <f>SUMIF(MVTO!$C$3:$C$72,"Dep_Judicial",MVTO!$M$3:$M$72)</f>
        <v>0</v>
      </c>
      <c r="R22" s="105">
        <f t="shared" si="23"/>
        <v>0</v>
      </c>
      <c r="S22" s="17">
        <f>SUMIF(MVTO!$C$3:$C$72,"Dep_Judicial",MVTO!$N$3:$N$72)</f>
        <v>0</v>
      </c>
      <c r="T22" s="105">
        <f t="shared" si="24"/>
        <v>0</v>
      </c>
      <c r="U22" s="152">
        <f>SUMIF(MVTO!$C$3:$C$72,"Dep_Judicial",MVTO!$O$3:$O$72)</f>
        <v>0</v>
      </c>
      <c r="V22" s="105">
        <f t="shared" si="24"/>
        <v>0</v>
      </c>
      <c r="W22" s="152">
        <f>SUMIF(MVTO!$C$3:$C$72,"Dep_Judicial",MVTO!$P$3:$P$72)</f>
        <v>0</v>
      </c>
      <c r="X22" s="105">
        <f t="shared" si="24"/>
        <v>0</v>
      </c>
      <c r="Y22" s="152">
        <f>SUMIF(MVTO!$C$3:$C$72,"Dep_Judicial",MVTO!$Q$3:$Q$72)</f>
        <v>0</v>
      </c>
      <c r="Z22" s="105">
        <f t="shared" ref="Z22" si="45">Y22/$C$14</f>
        <v>0</v>
      </c>
      <c r="AA22" s="17">
        <f t="shared" si="2"/>
        <v>0</v>
      </c>
      <c r="AB22" s="23">
        <f t="shared" si="26"/>
        <v>0</v>
      </c>
      <c r="AD22" s="29"/>
      <c r="AE22" s="29"/>
    </row>
    <row r="23" spans="2:155" x14ac:dyDescent="0.25">
      <c r="B23" s="10" t="s">
        <v>110</v>
      </c>
      <c r="C23" s="17">
        <f>SUMIF(MVTO!$C$3:$C$72,"Desp_imovel",MVTO!$F$3:$F$72)</f>
        <v>287</v>
      </c>
      <c r="D23" s="95">
        <f t="shared" ref="D23" si="46">C23/$C$14</f>
        <v>1.9694991152008068E-3</v>
      </c>
      <c r="E23" s="17">
        <f>SUMIF(MVTO!$C$3:$C$72,"Desp_imovel",MVTO!$G$3:$G$72)</f>
        <v>19769.07</v>
      </c>
      <c r="F23" s="105">
        <f t="shared" ref="F23" si="47">E23/$E$14</f>
        <v>1.3783343219530064E-2</v>
      </c>
      <c r="G23" s="17">
        <f>SUMIF(MVTO!$C$3:$C$72,"Desp_imovel",MVTO!$H$3:$H$72)</f>
        <v>7392.08</v>
      </c>
      <c r="H23" s="105">
        <f t="shared" ref="H23" si="48">G23/$G$14</f>
        <v>1.0203769782806994E-2</v>
      </c>
      <c r="I23" s="17">
        <f>SUMIF(MVTO!$C$3:$C$72,"Desp_imovel",MVTO!$I$3:$I$72)</f>
        <v>5965.69</v>
      </c>
      <c r="J23" s="105">
        <f t="shared" ref="J23" si="49">I23/$I$14</f>
        <v>5.171875395539853E-2</v>
      </c>
      <c r="K23" s="17">
        <f>SUMIF(MVTO!$C$3:$C$72,"Desp_imovel",MVTO!$J$3:$J$72)</f>
        <v>4352.8999999999996</v>
      </c>
      <c r="L23" s="105">
        <f t="shared" ref="L23" si="50">K23/$I$14</f>
        <v>3.7736886109143157E-2</v>
      </c>
      <c r="M23" s="17">
        <f>SUMIF(MVTO!$C$3:$C$72,"Desp_imovel",MVTO!$K$3:$K$72)</f>
        <v>5805.62</v>
      </c>
      <c r="N23" s="105">
        <f t="shared" ref="N23" si="51">M23/$I$14</f>
        <v>5.0331048435057944E-2</v>
      </c>
      <c r="O23" s="17">
        <f>SUMIF(MVTO!$C$3:$C$72,"Desp_imovel",MVTO!$L$3:$L$72)</f>
        <v>4192.6399999999994</v>
      </c>
      <c r="P23" s="105">
        <f t="shared" ref="P23" si="52">O23/$I$14</f>
        <v>3.6347533409138266E-2</v>
      </c>
      <c r="Q23" s="17">
        <f>SUMIF(MVTO!$C$3:$C$72,"Desp_imovel",MVTO!$M$3:$M$72)</f>
        <v>0</v>
      </c>
      <c r="R23" s="105">
        <f t="shared" ref="R23" si="53">Q23/$G$14</f>
        <v>0</v>
      </c>
      <c r="S23" s="17">
        <f>SUMIF(MVTO!$C$3:$C$72,"Desp_imovel",MVTO!$N$3:$N$72)</f>
        <v>0</v>
      </c>
      <c r="T23" s="105">
        <f t="shared" si="24"/>
        <v>0</v>
      </c>
      <c r="U23" s="152">
        <f>SUMIF(MVTO!$C$3:$C$72,"Desp_imovel",MVTO!$O$3:$O$72)</f>
        <v>0</v>
      </c>
      <c r="V23" s="105">
        <f t="shared" ref="V23" si="54">U23/$G$14</f>
        <v>0</v>
      </c>
      <c r="W23" s="152">
        <f>SUMIF(MVTO!$C$3:$C$72,"Desp_imovel",MVTO!$P$3:$P$72)</f>
        <v>0</v>
      </c>
      <c r="X23" s="105">
        <f t="shared" ref="X23" si="55">W23/$G$14</f>
        <v>0</v>
      </c>
      <c r="Y23" s="152">
        <f>SUMIF(MVTO!$C$3:$C$72,"Desp_imovel",MVTO!$Q$3:$Q$72)</f>
        <v>0</v>
      </c>
      <c r="Z23" s="105">
        <f t="shared" ref="Z23" si="56">Y23/$C$14</f>
        <v>0</v>
      </c>
      <c r="AA23" s="17">
        <f t="shared" si="2"/>
        <v>47765.000000000007</v>
      </c>
      <c r="AB23" s="23">
        <f t="shared" ref="AB23" si="57">AA23/$AA$14</f>
        <v>1.2916405832697878E-2</v>
      </c>
      <c r="AD23" s="29"/>
      <c r="AE23" s="29"/>
    </row>
    <row r="24" spans="2:155" x14ac:dyDescent="0.25">
      <c r="B24" s="10" t="s">
        <v>65</v>
      </c>
      <c r="C24" s="17">
        <f>SUMIF(MVTO!$C$3:$C$72,"Pessoal",MVTO!$F$3:$F$72)</f>
        <v>0</v>
      </c>
      <c r="D24" s="95">
        <f t="shared" si="41"/>
        <v>0</v>
      </c>
      <c r="E24" s="17">
        <f>SUMIF(MVTO!$C$3:$C$72,"Pessoal",MVTO!$G$3:$G$72)</f>
        <v>0</v>
      </c>
      <c r="F24" s="105">
        <f t="shared" si="17"/>
        <v>0</v>
      </c>
      <c r="G24" s="17">
        <f>SUMIF(MVTO!$C$3:$C$72,"Pessoal",MVTO!$H$3:$H$72)</f>
        <v>0</v>
      </c>
      <c r="H24" s="105">
        <f t="shared" si="18"/>
        <v>0</v>
      </c>
      <c r="I24" s="17">
        <f>SUMIF(MVTO!$C$3:$C$72,"Pessoal",MVTO!$I$3:$I$72)</f>
        <v>0</v>
      </c>
      <c r="J24" s="105">
        <f t="shared" si="19"/>
        <v>0</v>
      </c>
      <c r="K24" s="17">
        <f>SUMIF(MVTO!$C$3:$C$72,"Pessoal",MVTO!$J$3:$J$72)</f>
        <v>0</v>
      </c>
      <c r="L24" s="105">
        <f t="shared" si="20"/>
        <v>0</v>
      </c>
      <c r="M24" s="17">
        <f>SUMIF(MVTO!$C$3:$C$72,"Pessoal",MVTO!$K$3:$K$72)</f>
        <v>0</v>
      </c>
      <c r="N24" s="105">
        <f t="shared" si="21"/>
        <v>0</v>
      </c>
      <c r="O24" s="17">
        <f>SUMIF(MVTO!$C$3:$C$72,"Pessoal",MVTO!$L$3:$L$72)</f>
        <v>0</v>
      </c>
      <c r="P24" s="105">
        <f t="shared" si="22"/>
        <v>0</v>
      </c>
      <c r="Q24" s="17">
        <f>SUMIF(MVTO!$C$3:$C$72,"Pessoal",MVTO!$M$3:$M$72)</f>
        <v>0</v>
      </c>
      <c r="R24" s="105">
        <f t="shared" si="23"/>
        <v>0</v>
      </c>
      <c r="S24" s="17">
        <f>SUMIF(MVTO!$C$3:$C$72,"Pessoal",MVTO!$N$3:$N$72)</f>
        <v>0</v>
      </c>
      <c r="T24" s="105">
        <f t="shared" si="24"/>
        <v>0</v>
      </c>
      <c r="U24" s="152">
        <f>SUMIF(MVTO!$C$3:$C$72,"Pessoal",MVTO!$O$3:$O$72)</f>
        <v>0</v>
      </c>
      <c r="V24" s="105">
        <f t="shared" si="24"/>
        <v>0</v>
      </c>
      <c r="W24" s="152">
        <f>SUMIF(MVTO!$C$3:$C$72,"Pessoal",MVTO!$P$3:$P$72)</f>
        <v>0</v>
      </c>
      <c r="X24" s="105">
        <f t="shared" si="24"/>
        <v>0</v>
      </c>
      <c r="Y24" s="152">
        <f>SUMIF(MVTO!$C$3:$C$72,"Pessoal",MVTO!$Q$3:$Q$72)</f>
        <v>0</v>
      </c>
      <c r="Z24" s="105">
        <f t="shared" ref="Z24" si="58">Y24/$C$14</f>
        <v>0</v>
      </c>
      <c r="AA24" s="17">
        <f t="shared" si="2"/>
        <v>0</v>
      </c>
      <c r="AB24" s="23">
        <f t="shared" si="26"/>
        <v>0</v>
      </c>
      <c r="AD24" s="29"/>
      <c r="AE24" s="29"/>
    </row>
    <row r="25" spans="2:155" x14ac:dyDescent="0.25">
      <c r="B25" s="12" t="s">
        <v>84</v>
      </c>
      <c r="C25" s="21">
        <f>C17-C18</f>
        <v>66923.420000000013</v>
      </c>
      <c r="D25" s="98">
        <f>C25/$C$14</f>
        <v>0.45925301908087801</v>
      </c>
      <c r="E25" s="21">
        <f t="shared" ref="E25" si="59">E17-E18</f>
        <v>1322742.5899999996</v>
      </c>
      <c r="F25" s="108">
        <f t="shared" si="17"/>
        <v>0.92223939259965859</v>
      </c>
      <c r="G25" s="21">
        <f t="shared" ref="G25" si="60">G17-G18</f>
        <v>633153.93000000005</v>
      </c>
      <c r="H25" s="108">
        <f t="shared" si="18"/>
        <v>0.87398363367272747</v>
      </c>
      <c r="I25" s="21">
        <f>I17-I18</f>
        <v>32621.58</v>
      </c>
      <c r="J25" s="108">
        <f t="shared" si="19"/>
        <v>0.28280843785988707</v>
      </c>
      <c r="K25" s="21">
        <f t="shared" ref="K25" si="61">K17-K18</f>
        <v>305619.77</v>
      </c>
      <c r="L25" s="108">
        <f t="shared" si="20"/>
        <v>2.6495298429076084</v>
      </c>
      <c r="M25" s="21">
        <f t="shared" ref="M25:O25" si="62">M17-M18</f>
        <v>354535.18000000005</v>
      </c>
      <c r="N25" s="108">
        <f t="shared" si="21"/>
        <v>3.073595467238984</v>
      </c>
      <c r="O25" s="21">
        <f t="shared" si="62"/>
        <v>348538.53</v>
      </c>
      <c r="P25" s="108">
        <f t="shared" si="22"/>
        <v>3.0216083096919704</v>
      </c>
      <c r="Q25" s="21">
        <f t="shared" ref="Q25:S25" si="63">Q17-Q18</f>
        <v>0</v>
      </c>
      <c r="R25" s="108">
        <f t="shared" si="23"/>
        <v>0</v>
      </c>
      <c r="S25" s="21">
        <f t="shared" si="63"/>
        <v>0</v>
      </c>
      <c r="T25" s="108">
        <f t="shared" si="24"/>
        <v>0</v>
      </c>
      <c r="U25" s="155">
        <f>U17-U18</f>
        <v>0</v>
      </c>
      <c r="V25" s="108">
        <f t="shared" si="24"/>
        <v>0</v>
      </c>
      <c r="W25" s="155">
        <f t="shared" ref="W25" si="64">W17-W18</f>
        <v>0</v>
      </c>
      <c r="X25" s="108">
        <f t="shared" si="24"/>
        <v>0</v>
      </c>
      <c r="Y25" s="155">
        <f t="shared" ref="Y25" si="65">Y17-Y18</f>
        <v>0</v>
      </c>
      <c r="Z25" s="108">
        <f t="shared" ref="Z25:Z27" si="66">Y25/$C$14</f>
        <v>0</v>
      </c>
      <c r="AA25" s="21">
        <f t="shared" si="2"/>
        <v>3064135</v>
      </c>
      <c r="AB25" s="26">
        <f t="shared" si="26"/>
        <v>0.82859020592847699</v>
      </c>
      <c r="AD25" s="29"/>
      <c r="AE25" s="29"/>
    </row>
    <row r="26" spans="2:155" x14ac:dyDescent="0.25">
      <c r="B26" s="11" t="s">
        <v>85</v>
      </c>
      <c r="C26" s="17">
        <f>SUMIF(MVTO!$C$3:$C$72,"Rec_Fin",MVTO!$F$3:$F$72)-SUMIF(MVTO!$C$3:$C$72,"Desp_Fin",MVTO!$F$3:$F$72)</f>
        <v>-1591.56</v>
      </c>
      <c r="D26" s="95">
        <f>C26/$C$14</f>
        <v>-1.0921867636895455E-2</v>
      </c>
      <c r="E26" s="17">
        <f>SUMIF(MVTO!$C$3:$C$72,"Rec_Fin",MVTO!$G$3:$G$72)-SUMIF(MVTO!$C$3:$C$72,"Desp_Fin",MVTO!$G$3:$G$72)</f>
        <v>-14276.989999999998</v>
      </c>
      <c r="F26" s="105">
        <f t="shared" si="17"/>
        <v>-9.9541684718501434E-3</v>
      </c>
      <c r="G26" s="17">
        <f>SUMIF(MVTO!$C$3:$C$72,"Rec_Fin",MVTO!$H$3:$H$72)-SUMIF(MVTO!$C$3:$C$72,"Desp_Fin",MVTO!$H$3:$H$72)</f>
        <v>2353.2000000000007</v>
      </c>
      <c r="H26" s="105">
        <f t="shared" si="18"/>
        <v>3.2482753234409564E-3</v>
      </c>
      <c r="I26" s="17">
        <f>SUMIF(MVTO!$C$3:$C$72,"Rec_Fin",MVTO!$I$3:$I$72)-SUMIF(MVTO!$C$3:$C$72,"Desp_Fin",MVTO!$I$3:$I$72)</f>
        <v>-2204.02</v>
      </c>
      <c r="J26" s="105">
        <f t="shared" si="19"/>
        <v>-1.9107457493228355E-2</v>
      </c>
      <c r="K26" s="17">
        <f>SUMIF(MVTO!$C$3:$C$72,"Rec_Fin",MVTO!$J$3:$J$72)-SUMIF(MVTO!$C$3:$C$72,"Desp_Fin",MVTO!$J$3:$J$72)</f>
        <v>731.82000000000016</v>
      </c>
      <c r="L26" s="105">
        <f t="shared" si="20"/>
        <v>6.3444159048894194E-3</v>
      </c>
      <c r="M26" s="17">
        <f>SUMIF(MVTO!$C$3:$C$72,"Rec_Fin",MVTO!$K$3:$K$72)-SUMIF(MVTO!$C$3:$C$72,"Desp_Fin",MVTO!$K$3:$K$72)</f>
        <v>-1926</v>
      </c>
      <c r="N26" s="105">
        <f t="shared" si="21"/>
        <v>-1.669720017602282E-2</v>
      </c>
      <c r="O26" s="17">
        <f>SUMIF(MVTO!$C$3:$C$72,"Rec_Fin",MVTO!$L$3:$L$72)-SUMIF(MVTO!$C$3:$C$72,"Desp_Fin",MVTO!$L$3:$L$72)</f>
        <v>-25.330000000000041</v>
      </c>
      <c r="P26" s="105">
        <f t="shared" si="22"/>
        <v>-2.1959505735132849E-4</v>
      </c>
      <c r="Q26" s="17">
        <f>SUMIF(MVTO!$C$3:$C$72,"Rec_Fin",MVTO!$M$3:$M$72)-SUMIF(MVTO!$C$3:$C$72,"Desp_Fin",MVTO!$M$3:$M$72)</f>
        <v>0</v>
      </c>
      <c r="R26" s="105">
        <f t="shared" si="23"/>
        <v>0</v>
      </c>
      <c r="S26" s="17">
        <f>SUMIF(MVTO!$C$3:$C$72,"Rec_Fin",MVTO!$N$3:$N$72)-SUMIF(MVTO!$C$3:$C$72,"Desp_Fin",MVTO!$N$3:$N$72)</f>
        <v>0</v>
      </c>
      <c r="T26" s="105">
        <f t="shared" si="24"/>
        <v>0</v>
      </c>
      <c r="U26" s="152">
        <f>SUMIF(MVTO!$C$3:$C$72,"Rec_Fin",MVTO!$O$3:$O$72)-SUMIF(MVTO!$C$3:$C$72,"Desp_Fin",MVTO!$O$3:$O$72)</f>
        <v>0</v>
      </c>
      <c r="V26" s="105">
        <f t="shared" si="24"/>
        <v>0</v>
      </c>
      <c r="W26" s="152">
        <f>SUMIF(MVTO!$C$3:$C$72,"Rec_Fin",MVTO!$P$3:$P$72)-SUMIF(MVTO!$C$3:$C$72,"Desp_Fin",MVTO!$P$3:$P$72)</f>
        <v>0</v>
      </c>
      <c r="X26" s="105">
        <f t="shared" si="24"/>
        <v>0</v>
      </c>
      <c r="Y26" s="152">
        <f>SUMIF(MVTO!$C$3:$C$72,"Rec_Fin",MVTO!$Q$3:$Q$72)-SUMIF(MVTO!$C$3:$C$72,"Desp_Fin",MVTO!$Q$3:$Q$72)</f>
        <v>0</v>
      </c>
      <c r="Z26" s="105">
        <f t="shared" si="66"/>
        <v>0</v>
      </c>
      <c r="AA26" s="17">
        <f t="shared" si="2"/>
        <v>-16938.879999999997</v>
      </c>
      <c r="AB26" s="23">
        <f t="shared" si="26"/>
        <v>-4.5805390648250678E-3</v>
      </c>
      <c r="AD26" s="29"/>
      <c r="AE26" s="29"/>
    </row>
    <row r="27" spans="2:155" x14ac:dyDescent="0.25">
      <c r="B27" s="5" t="s">
        <v>86</v>
      </c>
      <c r="C27" s="17">
        <f>SUMIF(MVTO!$C$3:$C$72,"Imp_IR",MVTO!$F$3:$F$72)</f>
        <v>56026.96</v>
      </c>
      <c r="D27" s="95">
        <f>C27/$C$14</f>
        <v>0.38447751967732052</v>
      </c>
      <c r="E27" s="17">
        <f>SUMIF(MVTO!$C$3:$C$72,"Imp_IR",MVTO!$G$3:$G$72)</f>
        <v>56026.96</v>
      </c>
      <c r="F27" s="105">
        <f t="shared" si="17"/>
        <v>3.9062981679304193E-2</v>
      </c>
      <c r="G27" s="17">
        <f>SUMIF(MVTO!$C$3:$C$72,"Imp_IR",MVTO!$H$3:$H$72)</f>
        <v>56026.96</v>
      </c>
      <c r="H27" s="105">
        <f t="shared" si="18"/>
        <v>7.733766429347845E-2</v>
      </c>
      <c r="I27" s="17">
        <f>SUMIF(MVTO!$C$3:$C$72,"Imp_IR",MVTO!$I$3:$I$72)</f>
        <v>51706.17</v>
      </c>
      <c r="J27" s="105">
        <f t="shared" si="19"/>
        <v>0.44825974601529894</v>
      </c>
      <c r="K27" s="17">
        <f>SUMIF(MVTO!$C$3:$C$72,"Imp_IR",MVTO!$J$3:$J$72)</f>
        <v>51706.17</v>
      </c>
      <c r="L27" s="105">
        <f t="shared" si="20"/>
        <v>0.44825974601529894</v>
      </c>
      <c r="M27" s="17">
        <f>SUMIF(MVTO!$C$3:$C$72,"Imp_IR",MVTO!$K$3:$K$72)</f>
        <v>51706.17</v>
      </c>
      <c r="N27" s="105">
        <f t="shared" si="21"/>
        <v>0.44825974601529894</v>
      </c>
      <c r="O27" s="17">
        <f>SUMIF(MVTO!$C$3:$C$72,"Imp_IR",MVTO!$L$3:$L$72)</f>
        <v>52473.69</v>
      </c>
      <c r="P27" s="105">
        <f t="shared" si="22"/>
        <v>0.45491365830974395</v>
      </c>
      <c r="Q27" s="17">
        <f>SUMIF(MVTO!$C$3:$C$72,"Imp_IR",MVTO!$M$3:$M$72)</f>
        <v>0</v>
      </c>
      <c r="R27" s="105">
        <f t="shared" si="23"/>
        <v>0</v>
      </c>
      <c r="S27" s="17">
        <f>SUMIF(MVTO!$C$3:$C$72,"Imp_IR",MVTO!$N$3:$N$72)</f>
        <v>0</v>
      </c>
      <c r="T27" s="105">
        <f t="shared" si="24"/>
        <v>0</v>
      </c>
      <c r="U27" s="152">
        <f>SUMIF(MVTO!$C$3:$C$72,"Imp_IR",MVTO!$O$3:$O$72)</f>
        <v>0</v>
      </c>
      <c r="V27" s="105">
        <f t="shared" si="24"/>
        <v>0</v>
      </c>
      <c r="W27" s="152">
        <f>SUMIF(MVTO!$C$3:$C$72,"Imp_IR",MVTO!$P$3:$P$72)</f>
        <v>0</v>
      </c>
      <c r="X27" s="105">
        <f t="shared" si="24"/>
        <v>0</v>
      </c>
      <c r="Y27" s="152">
        <f>SUMIF(MVTO!$C$3:$C$72,"Imp_IR",MVTO!$Q$3:$Q$72)</f>
        <v>0</v>
      </c>
      <c r="Z27" s="105">
        <f t="shared" si="66"/>
        <v>0</v>
      </c>
      <c r="AA27" s="17">
        <f t="shared" si="2"/>
        <v>375673.07999999996</v>
      </c>
      <c r="AB27" s="23">
        <f t="shared" si="26"/>
        <v>0.10158789828744007</v>
      </c>
      <c r="AD27" s="29"/>
      <c r="AE27" s="29"/>
    </row>
    <row r="28" spans="2:155" x14ac:dyDescent="0.25">
      <c r="B28" s="74" t="s">
        <v>87</v>
      </c>
      <c r="C28" s="75">
        <f>C25-C27+C26</f>
        <v>9304.9000000000142</v>
      </c>
      <c r="D28" s="99"/>
      <c r="E28" s="77">
        <f>E25+E26-E27</f>
        <v>1252438.6399999997</v>
      </c>
      <c r="F28" s="109"/>
      <c r="G28" s="77">
        <f>G25+G26-G27</f>
        <v>579480.17000000004</v>
      </c>
      <c r="H28" s="109"/>
      <c r="I28" s="144">
        <f>I25+I26-I27</f>
        <v>-21288.609999999997</v>
      </c>
      <c r="J28" s="109"/>
      <c r="K28" s="77">
        <f>K25+K26-K27</f>
        <v>254645.42000000004</v>
      </c>
      <c r="L28" s="109"/>
      <c r="M28" s="77">
        <f>M25+M26-M27</f>
        <v>300903.01000000007</v>
      </c>
      <c r="N28" s="109"/>
      <c r="O28" s="77">
        <f>O25+O26-O27</f>
        <v>296039.51</v>
      </c>
      <c r="P28" s="109"/>
      <c r="Q28" s="144">
        <f>Q25+Q26-Q27</f>
        <v>0</v>
      </c>
      <c r="R28" s="109"/>
      <c r="S28" s="77">
        <f>S25+S26-S27</f>
        <v>0</v>
      </c>
      <c r="T28" s="109"/>
      <c r="U28" s="156">
        <f>U25+U26-U27</f>
        <v>0</v>
      </c>
      <c r="V28" s="109"/>
      <c r="W28" s="156">
        <f>W25+W26-W27</f>
        <v>0</v>
      </c>
      <c r="X28" s="109"/>
      <c r="Y28" s="156">
        <f>Y25+Y26-Y27</f>
        <v>0</v>
      </c>
      <c r="Z28" s="109"/>
      <c r="AA28" s="77">
        <f t="shared" si="2"/>
        <v>2671523.04</v>
      </c>
      <c r="AB28" s="76"/>
      <c r="AD28" s="29"/>
      <c r="AE28" s="29"/>
    </row>
    <row r="29" spans="2:155" x14ac:dyDescent="0.25">
      <c r="B29" s="14" t="s">
        <v>160</v>
      </c>
      <c r="C29" s="18">
        <f>SUMIF(MVTO!$C$3:$C$72,"Empréstimo",MVTO!$F$3:$F$72)</f>
        <v>36969.979999999996</v>
      </c>
      <c r="D29" s="95">
        <f t="shared" ref="D29:D32" si="67">C29/$C$14</f>
        <v>0.25370154320206101</v>
      </c>
      <c r="E29" s="18">
        <f>SUMIF(MVTO!$C$3:$C$72,"Empréstimo",MVTO!$G$3:$G$72)</f>
        <v>36969.979999999996</v>
      </c>
      <c r="F29" s="110">
        <f t="shared" ref="F29:F38" si="68">E29/$E$14</f>
        <v>2.5776120129027923E-2</v>
      </c>
      <c r="G29" s="18">
        <f>SUMIF(MVTO!$C$3:$C$72,"Empréstimo",MVTO!$H$3:$H$72)</f>
        <v>36969.979999999996</v>
      </c>
      <c r="H29" s="110">
        <f t="shared" ref="H29:H38" si="69">G29/$G$14</f>
        <v>5.1032072812385539E-2</v>
      </c>
      <c r="I29" s="18">
        <f>SUMIF(MVTO!$C$3:$C$72,"Empréstimo",MVTO!$I$3:$I$72)</f>
        <v>36969.979999999996</v>
      </c>
      <c r="J29" s="110">
        <f t="shared" ref="J29:J38" si="70">I29/$I$14</f>
        <v>0.32050631181908623</v>
      </c>
      <c r="K29" s="18">
        <f>SUMIF(MVTO!$C$3:$C$72,"Empréstimo",MVTO!$J$3:$J$72)</f>
        <v>36969.979999999996</v>
      </c>
      <c r="L29" s="110">
        <f t="shared" ref="L29:L38" si="71">K29/$I$14</f>
        <v>0.32050631181908623</v>
      </c>
      <c r="M29" s="18">
        <f>SUMIF(MVTO!$C$3:$C$72,"Empréstimo",MVTO!$K$3:$K$72)</f>
        <v>36969.979999999996</v>
      </c>
      <c r="N29" s="110">
        <f t="shared" ref="N29:N38" si="72">M29/$I$14</f>
        <v>0.32050631181908623</v>
      </c>
      <c r="O29" s="18">
        <f>SUMIF(MVTO!$C$3:$C$72,"Empréstimo",MVTO!$L$3:$L$72)</f>
        <v>36969.979999999996</v>
      </c>
      <c r="P29" s="110">
        <f t="shared" ref="P29:P38" si="73">O29/$I$14</f>
        <v>0.32050631181908623</v>
      </c>
      <c r="Q29" s="18">
        <f>SUMIF(MVTO!$C$3:$C$72,"Empréstimo",MVTO!$M$3:$M$72)</f>
        <v>0</v>
      </c>
      <c r="R29" s="110">
        <f t="shared" ref="R29:R38" si="74">Q29/$G$14</f>
        <v>0</v>
      </c>
      <c r="S29" s="18">
        <f>SUMIF(MVTO!$C$3:$C$72,"Empréstimo",MVTO!$N$3:$N$72)</f>
        <v>0</v>
      </c>
      <c r="T29" s="110">
        <f t="shared" ref="T29:X38" si="75">S29/$G$14</f>
        <v>0</v>
      </c>
      <c r="U29" s="157">
        <f>SUMIF(MVTO!$C$3:$C$72,"Empréstimo",MVTO!$O$3:$O$72)</f>
        <v>0</v>
      </c>
      <c r="V29" s="110">
        <f t="shared" si="75"/>
        <v>0</v>
      </c>
      <c r="W29" s="157">
        <f>SUMIF(MVTO!$C$3:$C$72,"Empréstimo",MVTO!$P$3:$P$72)</f>
        <v>0</v>
      </c>
      <c r="X29" s="110">
        <f t="shared" si="75"/>
        <v>0</v>
      </c>
      <c r="Y29" s="157">
        <f>SUMIF(MVTO!$C$3:$C$72,"Empréstimo",MVTO!$Q$3:$Q$72)</f>
        <v>0</v>
      </c>
      <c r="Z29" s="105">
        <f t="shared" ref="Z29" si="76">Y29/$C$14</f>
        <v>0</v>
      </c>
      <c r="AA29" s="18">
        <f>C29+E29+G29+I29+K29+M29+O29+Q29+S29+U29+W29+Y29</f>
        <v>258789.85999999993</v>
      </c>
      <c r="AB29" s="30">
        <f t="shared" ref="AB29:AB38" si="77">AA29/$AA$14</f>
        <v>6.9980840723271556E-2</v>
      </c>
      <c r="AD29" s="29"/>
      <c r="AE29" s="29"/>
    </row>
    <row r="30" spans="2:155" x14ac:dyDescent="0.25">
      <c r="B30" s="13" t="s">
        <v>90</v>
      </c>
      <c r="C30" s="18">
        <f>SUMIF(MVTO!$C$3:$C$72,"Ligadas_S",MVTO!$F$3:$F$72)</f>
        <v>0</v>
      </c>
      <c r="D30" s="95">
        <f>C30/$C$14</f>
        <v>0</v>
      </c>
      <c r="E30" s="18">
        <f>SUMIF(MVTO!$C$3:$C$72,"Ligadas_S",MVTO!$G$3:$G$72)</f>
        <v>0</v>
      </c>
      <c r="F30" s="110">
        <f>E30/$E$14</f>
        <v>0</v>
      </c>
      <c r="G30" s="18">
        <f>SUMIF(MVTO!$C$3:$C$72,"Ligadas_S",MVTO!$H$3:$H$72)</f>
        <v>0</v>
      </c>
      <c r="H30" s="110">
        <f>G30/$G$14</f>
        <v>0</v>
      </c>
      <c r="I30" s="18">
        <f>SUMIF(MVTO!$C$3:$C$72,"Ligadas_S",MVTO!$I$3:$I$72)</f>
        <v>64958</v>
      </c>
      <c r="J30" s="110">
        <f>I30/$I$14</f>
        <v>0.56314471912465747</v>
      </c>
      <c r="K30" s="18">
        <f>SUMIF(MVTO!$C$3:$C$72,"Ligadas_S",MVTO!$J$3:$J$72)</f>
        <v>1718.36</v>
      </c>
      <c r="L30" s="110">
        <f>K30/$I$14</f>
        <v>1.4897092883941107E-2</v>
      </c>
      <c r="M30" s="18">
        <f>SUMIF(MVTO!$C$3:$C$72,"Ligadas_S",MVTO!$K$3:$K$72)</f>
        <v>2949.85</v>
      </c>
      <c r="N30" s="110">
        <f>M30/$I$14</f>
        <v>2.557333122494336E-2</v>
      </c>
      <c r="O30" s="18">
        <f>SUMIF(MVTO!$C$3:$C$72,"Ligadas_S",MVTO!$L$3:$L$72)</f>
        <v>8538.7999999999993</v>
      </c>
      <c r="P30" s="110">
        <f>O30/$I$14</f>
        <v>7.4025987987031999E-2</v>
      </c>
      <c r="Q30" s="18">
        <f>SUMIF(MVTO!$C$3:$C$72,"Ligadas_S",MVTO!$M$3:$M$72)</f>
        <v>0</v>
      </c>
      <c r="R30" s="110">
        <f>Q30/$G$14</f>
        <v>0</v>
      </c>
      <c r="S30" s="18">
        <f>SUMIF(MVTO!$C$3:$C$72,"Ligadas_S",MVTO!$N$3:$N$72)</f>
        <v>0</v>
      </c>
      <c r="T30" s="110">
        <f t="shared" si="75"/>
        <v>0</v>
      </c>
      <c r="U30" s="157">
        <f>SUMIF(MVTO!$C$3:$C$72,"Ligadas_S",MVTO!$O$3:$O$72)</f>
        <v>0</v>
      </c>
      <c r="V30" s="110">
        <f t="shared" si="75"/>
        <v>0</v>
      </c>
      <c r="W30" s="157">
        <f>SUMIF(MVTO!$C$3:$C$72,"Ligadas_S",MVTO!$P$3:$P$72)</f>
        <v>0</v>
      </c>
      <c r="X30" s="110">
        <f>W30/$G$14</f>
        <v>0</v>
      </c>
      <c r="Y30" s="157">
        <f>SUMIF(MVTO!$C$3:$C$72,"Ligadas_S",MVTO!$Q$3:$Q$72)</f>
        <v>0</v>
      </c>
      <c r="Z30" s="105">
        <f>Y30/$C$14</f>
        <v>0</v>
      </c>
      <c r="AA30" s="18">
        <f t="shared" si="2"/>
        <v>78165.010000000009</v>
      </c>
      <c r="AB30" s="30">
        <f>AA30/$AA$14</f>
        <v>2.1137045767337756E-2</v>
      </c>
      <c r="AD30" s="29"/>
      <c r="AE30" s="29"/>
    </row>
    <row r="31" spans="2:155" x14ac:dyDescent="0.25">
      <c r="B31" s="13" t="s">
        <v>109</v>
      </c>
      <c r="C31" s="18">
        <f>SUMIF(MVTO!$C$3:$C$72,"imobilizado",MVTO!$F$3:$F$72)</f>
        <v>0</v>
      </c>
      <c r="D31" s="95">
        <f>C31/$C$14</f>
        <v>0</v>
      </c>
      <c r="E31" s="18">
        <f>SUMIF(MVTO!$C$3:$C$72,"Imobilizado",MVTO!$G$3:$G$72)</f>
        <v>738529.3</v>
      </c>
      <c r="F31" s="110">
        <f>E31/$E$14</f>
        <v>0.51491561411737052</v>
      </c>
      <c r="G31" s="18">
        <f>SUMIF(MVTO!$C$3:$C$72,"Imobilizado",MVTO!$H$3:$H$72)</f>
        <v>71960.509999999995</v>
      </c>
      <c r="H31" s="110">
        <f>G31/$G$14</f>
        <v>9.9331781784474799E-2</v>
      </c>
      <c r="I31" s="18">
        <f>SUMIF(MVTO!$C$3:$C$72,"Imobilizado",MVTO!$I$3:$I$72)</f>
        <v>89270.36</v>
      </c>
      <c r="J31" s="110">
        <f>I31/$I$14</f>
        <v>0.77391748219398782</v>
      </c>
      <c r="K31" s="18">
        <f>SUMIF(MVTO!$C$3:$C$72,"Imobilizado",MVTO!$J$3:$J$72)</f>
        <v>170256.26</v>
      </c>
      <c r="L31" s="110">
        <f>K31/$I$14</f>
        <v>1.4760139431157773</v>
      </c>
      <c r="M31" s="18">
        <f>SUMIF(MVTO!$C$3:$C$72,"Imobilizado",MVTO!$K$3:$K$72)</f>
        <v>103527.88</v>
      </c>
      <c r="N31" s="110">
        <f>M31/$I$14</f>
        <v>0.89752115065382632</v>
      </c>
      <c r="O31" s="18">
        <f>SUMIF(MVTO!$C$3:$C$72,"Imobilizado",MVTO!$L$3:$L$72)</f>
        <v>86668.64</v>
      </c>
      <c r="P31" s="110">
        <f>O31/$I$14</f>
        <v>0.75136221758237709</v>
      </c>
      <c r="Q31" s="18">
        <f>SUMIF(MVTO!$C$3:$C$72,"Imobilizado",MVTO!$M$3:$M$72)</f>
        <v>0</v>
      </c>
      <c r="R31" s="110">
        <f t="shared" ref="R31:R32" si="78">Q31/$G$14</f>
        <v>0</v>
      </c>
      <c r="S31" s="18">
        <f>SUMIF(MVTO!$C$3:$C$72,"Imobilizado",MVTO!$N$3:$N$72)</f>
        <v>0</v>
      </c>
      <c r="T31" s="110">
        <f t="shared" si="75"/>
        <v>0</v>
      </c>
      <c r="U31" s="157">
        <f>SUMIF(MVTO!$C$3:$C$72,"Imobilizado",MVTO!$O$3:$O$72)</f>
        <v>0</v>
      </c>
      <c r="V31" s="110">
        <f t="shared" si="75"/>
        <v>0</v>
      </c>
      <c r="W31" s="157">
        <f>SUMIF(MVTO!$C$3:$C$72,"Imobilizado",MVTO!$P$3:$P$72)</f>
        <v>0</v>
      </c>
      <c r="X31" s="110">
        <f>W31/$G$14</f>
        <v>0</v>
      </c>
      <c r="Y31" s="157">
        <f>SUMIF(MVTO!$C$3:$C$72,"Imobilizado",MVTO!$Q$3:$Q$72)</f>
        <v>0</v>
      </c>
      <c r="Z31" s="105">
        <f>Y31/$C$14</f>
        <v>0</v>
      </c>
      <c r="AA31" s="18">
        <f t="shared" si="2"/>
        <v>1260212.95</v>
      </c>
      <c r="AB31" s="30">
        <f>AA31/$AA$14</f>
        <v>0.3407813649706144</v>
      </c>
      <c r="AD31" s="29"/>
      <c r="AE31" s="29"/>
    </row>
    <row r="32" spans="2:155" x14ac:dyDescent="0.25">
      <c r="B32" s="13" t="s">
        <v>162</v>
      </c>
      <c r="C32" s="18">
        <f>SUMIF(MVTO!$C$3:$C$72,"imobilizado",MVTO!$F$3:$F$72)</f>
        <v>0</v>
      </c>
      <c r="D32" s="95">
        <f t="shared" si="67"/>
        <v>0</v>
      </c>
      <c r="E32" s="18">
        <f>SUMIF(MVTO!$C$3:$C$72,"Ligadas_E",MVTO!$G$3:$G$72)+SUMIF(MVTO!$C$3:$C$72,"Recursos_E",MVTO!$G$3:$G$72)</f>
        <v>0</v>
      </c>
      <c r="F32" s="110">
        <f t="shared" si="68"/>
        <v>0</v>
      </c>
      <c r="G32" s="18">
        <f>SUMIF(MVTO!$C$3:$C$72,"Ligadas_E",MVTO!$H$3:$H$72)</f>
        <v>0</v>
      </c>
      <c r="H32" s="110">
        <f t="shared" si="69"/>
        <v>0</v>
      </c>
      <c r="I32" s="18">
        <f>SUMIF(MVTO!$C$3:$C$72,"Ligadas_E",MVTO!$I$3:$I$72)</f>
        <v>0</v>
      </c>
      <c r="J32" s="110">
        <f t="shared" si="70"/>
        <v>0</v>
      </c>
      <c r="K32" s="18">
        <f>SUMIF(MVTO!$C$3:$C$72,"Ligadas_E",MVTO!$J$3:$J$72)</f>
        <v>33958</v>
      </c>
      <c r="L32" s="110">
        <f t="shared" si="71"/>
        <v>0.29439435284391635</v>
      </c>
      <c r="M32" s="18">
        <f>SUMIF(MVTO!$C$3:$C$72,"Ligadas_E",MVTO!$K$3:$K$72)</f>
        <v>13456.21</v>
      </c>
      <c r="N32" s="113">
        <f t="shared" si="72"/>
        <v>0.11665681826614746</v>
      </c>
      <c r="O32" s="18">
        <f>SUMIF(MVTO!$C$3:$C$72,"Ligadas_E",MVTO!$L$3:$L$72)</f>
        <v>0</v>
      </c>
      <c r="P32" s="18">
        <f>SUMIF(MVTO!$C$3:$C$72,"Ligadas_E",MVTO!$L$3:$L$72)</f>
        <v>0</v>
      </c>
      <c r="Q32" s="18">
        <f>SUMIF(MVTO!$C$3:$C$72,"Ligadas_E",MVTO!$M$3:$M$72)</f>
        <v>0</v>
      </c>
      <c r="R32" s="110">
        <f t="shared" si="78"/>
        <v>0</v>
      </c>
      <c r="S32" s="18">
        <f>SUMIF(MVTO!$C$3:$C$72,"Ligadas_E",MVTO!$N$3:$N$72)</f>
        <v>0</v>
      </c>
      <c r="T32" s="110">
        <f t="shared" si="75"/>
        <v>0</v>
      </c>
      <c r="U32" s="157">
        <f>SUMIF(MVTO!$C$3:$C$72,"Ligadas_E",MVTO!$O$3:$O$72)</f>
        <v>0</v>
      </c>
      <c r="V32" s="110">
        <f t="shared" si="75"/>
        <v>0</v>
      </c>
      <c r="W32" s="157">
        <f>SUMIF(MVTO!$C$3:$C$72,"Ligadas_E",MVTO!$P$3:$P$72)</f>
        <v>0</v>
      </c>
      <c r="X32" s="110">
        <f t="shared" si="75"/>
        <v>0</v>
      </c>
      <c r="Y32" s="157">
        <f>SUMIF(MVTO!$C$3:$C$72,"Ligadas_E",MVTO!$Q$3:$Q$72)</f>
        <v>0</v>
      </c>
      <c r="Z32" s="105">
        <f t="shared" ref="Z32" si="79">Y32/$C$14</f>
        <v>0</v>
      </c>
      <c r="AA32" s="18">
        <f>C32+E32+G32+I32+K32+M32+O32+Q32+S32+U32+W32+Y32</f>
        <v>47414.21</v>
      </c>
      <c r="AB32" s="30">
        <f t="shared" si="77"/>
        <v>1.2821546709866261E-2</v>
      </c>
      <c r="AD32" s="29"/>
      <c r="AE32" s="29"/>
    </row>
    <row r="33" spans="2:31" x14ac:dyDescent="0.25">
      <c r="B33" s="12" t="s">
        <v>140</v>
      </c>
      <c r="C33" s="21">
        <f>C28-C29-C30-C31+C32</f>
        <v>-27665.07999999998</v>
      </c>
      <c r="D33" s="98">
        <f>C33/$C$14</f>
        <v>-0.18984791143539892</v>
      </c>
      <c r="E33" s="21">
        <f>E28-E29-E30-E31+E32</f>
        <v>476939.35999999964</v>
      </c>
      <c r="F33" s="108">
        <f t="shared" si="68"/>
        <v>0.33253050820210578</v>
      </c>
      <c r="G33" s="21">
        <f>G28-G29-G30-G31+G32</f>
        <v>470549.68000000005</v>
      </c>
      <c r="H33" s="108">
        <f t="shared" si="69"/>
        <v>0.64953039010582969</v>
      </c>
      <c r="I33" s="21">
        <f>I28-I29-I30-I31+I32</f>
        <v>-212486.95</v>
      </c>
      <c r="J33" s="108">
        <f t="shared" si="70"/>
        <v>-1.8421272787863718</v>
      </c>
      <c r="K33" s="21">
        <f>K28-K29-K30-K31+K32</f>
        <v>79658.820000000065</v>
      </c>
      <c r="L33" s="108">
        <f t="shared" si="71"/>
        <v>0.6905915178223111</v>
      </c>
      <c r="M33" s="21">
        <f>M28-M29-M30-M31+M32</f>
        <v>170911.51000000007</v>
      </c>
      <c r="N33" s="108">
        <f t="shared" si="72"/>
        <v>1.4816945456159538</v>
      </c>
      <c r="O33" s="21">
        <f>O28-O29-O30-O31+O32</f>
        <v>163862.09000000003</v>
      </c>
      <c r="P33" s="108">
        <f t="shared" si="73"/>
        <v>1.4205805389363797</v>
      </c>
      <c r="Q33" s="21">
        <f>Q28-Q29-Q30-Q31+Q32</f>
        <v>0</v>
      </c>
      <c r="R33" s="108">
        <f t="shared" si="74"/>
        <v>0</v>
      </c>
      <c r="S33" s="21">
        <f>S28-S29-S30-S31+S32</f>
        <v>0</v>
      </c>
      <c r="T33" s="108">
        <f t="shared" si="75"/>
        <v>0</v>
      </c>
      <c r="U33" s="155">
        <f>U28-U29-U30-U31+U32</f>
        <v>0</v>
      </c>
      <c r="V33" s="108">
        <f t="shared" si="75"/>
        <v>0</v>
      </c>
      <c r="W33" s="155">
        <f>W28-W29-W30-W31+W32</f>
        <v>0</v>
      </c>
      <c r="X33" s="108">
        <f t="shared" si="75"/>
        <v>0</v>
      </c>
      <c r="Y33" s="155">
        <f>Y28-Y29-Y30-Y31+Y32</f>
        <v>0</v>
      </c>
      <c r="Z33" s="108">
        <f t="shared" ref="Z33:Z34" si="80">Y33/$C$14</f>
        <v>0</v>
      </c>
      <c r="AA33" s="21">
        <f t="shared" si="2"/>
        <v>1121769.43</v>
      </c>
      <c r="AB33" s="26">
        <f t="shared" si="77"/>
        <v>0.3033440638248544</v>
      </c>
      <c r="AD33" s="29"/>
      <c r="AE33" s="29"/>
    </row>
    <row r="34" spans="2:31" x14ac:dyDescent="0.25">
      <c r="B34" s="15" t="s">
        <v>91</v>
      </c>
      <c r="C34" s="27">
        <f>SUM(C35:C38)</f>
        <v>154723.57</v>
      </c>
      <c r="D34" s="100">
        <f>C34/$C$14</f>
        <v>1.0617698056296518</v>
      </c>
      <c r="E34" s="27">
        <f>SUM(E35:E38)</f>
        <v>144347.06</v>
      </c>
      <c r="F34" s="111">
        <f t="shared" si="68"/>
        <v>0.10064130840297998</v>
      </c>
      <c r="G34" s="129">
        <f t="shared" ref="G34" si="81">SUM(G35:G38)</f>
        <v>153061.82</v>
      </c>
      <c r="H34" s="111">
        <f t="shared" si="69"/>
        <v>0.21128120553584964</v>
      </c>
      <c r="I34" s="27">
        <f>SUM(I35:I38)</f>
        <v>210317.77000000002</v>
      </c>
      <c r="J34" s="111">
        <f t="shared" si="70"/>
        <v>1.8233218620273766</v>
      </c>
      <c r="K34" s="27">
        <f t="shared" ref="K34" si="82">SUM(K35:K38)</f>
        <v>188092.62999999998</v>
      </c>
      <c r="L34" s="111">
        <f t="shared" si="71"/>
        <v>1.6306439744260617</v>
      </c>
      <c r="M34" s="27">
        <f t="shared" ref="M34:O34" si="83">SUM(M35:M38)</f>
        <v>240937.51</v>
      </c>
      <c r="N34" s="111">
        <f t="shared" si="72"/>
        <v>2.088775614944185</v>
      </c>
      <c r="O34" s="27">
        <f t="shared" si="83"/>
        <v>249673.46999999997</v>
      </c>
      <c r="P34" s="111">
        <f t="shared" si="73"/>
        <v>2.1645108552607621</v>
      </c>
      <c r="Q34" s="27">
        <f t="shared" ref="Q34:S34" si="84">SUM(Q35:Q38)</f>
        <v>0</v>
      </c>
      <c r="R34" s="111">
        <f t="shared" si="74"/>
        <v>0</v>
      </c>
      <c r="S34" s="27">
        <f t="shared" si="84"/>
        <v>0</v>
      </c>
      <c r="T34" s="111">
        <f t="shared" si="75"/>
        <v>0</v>
      </c>
      <c r="U34" s="158">
        <f t="shared" ref="U34:W34" si="85">SUM(U35:U38)</f>
        <v>0</v>
      </c>
      <c r="V34" s="111">
        <f t="shared" si="75"/>
        <v>0</v>
      </c>
      <c r="W34" s="158">
        <f t="shared" si="85"/>
        <v>0</v>
      </c>
      <c r="X34" s="111">
        <f t="shared" si="75"/>
        <v>0</v>
      </c>
      <c r="Y34" s="158">
        <f t="shared" ref="Y34" si="86">SUM(Y35:Y38)</f>
        <v>0</v>
      </c>
      <c r="Z34" s="160">
        <f t="shared" si="80"/>
        <v>0</v>
      </c>
      <c r="AA34" s="27">
        <f>C34+E34+G34+I34+K34+M34+O34+Q34+S34+U34+W34+Y34</f>
        <v>1341153.8299999998</v>
      </c>
      <c r="AB34" s="31">
        <f t="shared" si="77"/>
        <v>0.36266904956258961</v>
      </c>
      <c r="AD34" s="29"/>
      <c r="AE34" s="29"/>
    </row>
    <row r="35" spans="2:31" x14ac:dyDescent="0.25">
      <c r="B35" s="10" t="s">
        <v>31</v>
      </c>
      <c r="C35" s="17">
        <f>SUMIF(MVTO!$C$3:$C$72,"Sócio_Diego",MVTO!$F$3:$F$72)</f>
        <v>27593.81</v>
      </c>
      <c r="D35" s="95">
        <f t="shared" ref="D35:D38" si="87">C35/$C$14</f>
        <v>0.1893588305924013</v>
      </c>
      <c r="E35" s="17">
        <f>SUMIF(MVTO!$C$3:$C$72,"Sócio_Diego",MVTO!$G$3:$G$72)</f>
        <v>32612.75</v>
      </c>
      <c r="F35" s="105">
        <f t="shared" si="68"/>
        <v>2.2738182756332451E-2</v>
      </c>
      <c r="G35" s="17">
        <f>SUMIF(MVTO!$C$3:$C$72,"Sócio_Diego",MVTO!$H$3:$H$72)</f>
        <v>32502.67</v>
      </c>
      <c r="H35" s="105">
        <f t="shared" si="69"/>
        <v>4.4865553674547275E-2</v>
      </c>
      <c r="I35" s="17">
        <f>SUMIF(MVTO!$C$3:$C$72,"Sócio_Diego",MVTO!$I$3:$I$72)</f>
        <v>38690.86</v>
      </c>
      <c r="J35" s="105">
        <f t="shared" si="70"/>
        <v>0.33542525150699598</v>
      </c>
      <c r="K35" s="17">
        <f>SUMIF(MVTO!$C$3:$C$72,"Sócio_Diego",MVTO!$J$3:$J$72)</f>
        <v>45261.759999999995</v>
      </c>
      <c r="L35" s="105">
        <f t="shared" si="71"/>
        <v>0.3923907928551934</v>
      </c>
      <c r="M35" s="17">
        <f>SUMIF(MVTO!$C$3:$C$72,"Sócio_Diego",MVTO!$K$3:$K$72)</f>
        <v>48231.95</v>
      </c>
      <c r="N35" s="105">
        <f t="shared" si="72"/>
        <v>0.4181404589978836</v>
      </c>
      <c r="O35" s="17">
        <f>SUMIF(MVTO!$C$3:$C$72,"Sócio_Diego",MVTO!$L$3:$L$72)</f>
        <v>34675.74</v>
      </c>
      <c r="P35" s="105">
        <f t="shared" si="73"/>
        <v>0.30061670406631436</v>
      </c>
      <c r="Q35" s="17">
        <f>SUMIF(MVTO!$C$3:$C$72,"Sócio_Diego",MVTO!$M$3:$M$72)</f>
        <v>0</v>
      </c>
      <c r="R35" s="105">
        <f t="shared" si="74"/>
        <v>0</v>
      </c>
      <c r="S35" s="17">
        <f>SUMIF(MVTO!$C$3:$C$72,"Sócio_Diego",MVTO!$N$3:$N$72)</f>
        <v>0</v>
      </c>
      <c r="T35" s="105">
        <f t="shared" si="75"/>
        <v>0</v>
      </c>
      <c r="U35" s="152">
        <f>SUMIF(MVTO!$C$3:$C$72,"Sócio_Diego",MVTO!$O$3:$O$72)</f>
        <v>0</v>
      </c>
      <c r="V35" s="105">
        <f t="shared" si="75"/>
        <v>0</v>
      </c>
      <c r="W35" s="152">
        <f>SUMIF(MVTO!$C$3:$C$72,"Sócio_Diego",MVTO!$P$3:$P$72)</f>
        <v>0</v>
      </c>
      <c r="X35" s="105">
        <f t="shared" si="75"/>
        <v>0</v>
      </c>
      <c r="Y35" s="152">
        <f>SUMIF(MVTO!$C$3:$C$72,"Sócio_Diego",MVTO!$Q$3:$Q$72)</f>
        <v>0</v>
      </c>
      <c r="Z35" s="105">
        <f t="shared" ref="Z35" si="88">Y35/$C$14</f>
        <v>0</v>
      </c>
      <c r="AA35" s="17">
        <f t="shared" si="2"/>
        <v>259569.53999999998</v>
      </c>
      <c r="AB35" s="23">
        <f t="shared" si="77"/>
        <v>7.0191678434977589E-2</v>
      </c>
      <c r="AD35" s="29"/>
      <c r="AE35" s="29"/>
    </row>
    <row r="36" spans="2:31" x14ac:dyDescent="0.25">
      <c r="B36" s="10" t="s">
        <v>32</v>
      </c>
      <c r="C36" s="17">
        <f>SUMIF(MVTO!$C$3:$C$72,"Sócio_Thiago",MVTO!$F$3:$F$72)</f>
        <v>46201.36</v>
      </c>
      <c r="D36" s="95">
        <f t="shared" si="87"/>
        <v>0.31705065380165137</v>
      </c>
      <c r="E36" s="17">
        <f>SUMIF(MVTO!$C$3:$C$72,"Sócio_Thiago",MVTO!$G$3:$G$72)</f>
        <v>31008.67</v>
      </c>
      <c r="F36" s="105">
        <f t="shared" si="68"/>
        <v>2.1619789974497806E-2</v>
      </c>
      <c r="G36" s="17">
        <f>SUMIF(MVTO!$C$3:$C$72,"Sócio_Thiago",MVTO!$H$3:$H$72)</f>
        <v>36008.639999999999</v>
      </c>
      <c r="H36" s="105">
        <f t="shared" si="69"/>
        <v>4.9705072557652955E-2</v>
      </c>
      <c r="I36" s="17">
        <f>SUMIF(MVTO!$C$3:$C$72,"Sócio_Thiago",MVTO!$I$3:$I$72)</f>
        <v>41008.639999999999</v>
      </c>
      <c r="J36" s="105">
        <f t="shared" si="70"/>
        <v>0.3555189361508081</v>
      </c>
      <c r="K36" s="17">
        <f>SUMIF(MVTO!$C$3:$C$72,"Sócio_Thiago",MVTO!$J$3:$J$72)</f>
        <v>46295.6</v>
      </c>
      <c r="L36" s="105">
        <f t="shared" si="71"/>
        <v>0.40135353087698961</v>
      </c>
      <c r="M36" s="17">
        <f>SUMIF(MVTO!$C$3:$C$72,"Sócio_Thiago",MVTO!$K$3:$K$72)</f>
        <v>92249.19</v>
      </c>
      <c r="N36" s="105">
        <f t="shared" si="72"/>
        <v>0.79974205166457035</v>
      </c>
      <c r="O36" s="17">
        <f>SUMIF(MVTO!$C$3:$C$72,"Sócio_Thiago",MVTO!$L$3:$L$72)</f>
        <v>64470.93</v>
      </c>
      <c r="P36" s="105">
        <f t="shared" si="73"/>
        <v>0.55892213070838781</v>
      </c>
      <c r="Q36" s="17">
        <f>SUMIF(MVTO!$C$3:$C$72,"Sócio_Thiago",MVTO!$M$3:$M$72)</f>
        <v>0</v>
      </c>
      <c r="R36" s="105">
        <f t="shared" si="74"/>
        <v>0</v>
      </c>
      <c r="S36" s="17">
        <f>SUMIF(MVTO!$C$3:$C$72,"Sócio_Thiago",MVTO!$N$3:$N$72)</f>
        <v>0</v>
      </c>
      <c r="T36" s="105">
        <f t="shared" si="75"/>
        <v>0</v>
      </c>
      <c r="U36" s="152">
        <f>SUMIF(MVTO!$C$3:$C$72,"Sócio_Thiago",MVTO!$O$3:$O$72)</f>
        <v>0</v>
      </c>
      <c r="V36" s="105">
        <f t="shared" si="75"/>
        <v>0</v>
      </c>
      <c r="W36" s="152">
        <f>SUMIF(MVTO!$C$3:$C$72,"Sócio_Thiago",MVTO!$P$3:$P$72)</f>
        <v>0</v>
      </c>
      <c r="X36" s="105">
        <f t="shared" si="75"/>
        <v>0</v>
      </c>
      <c r="Y36" s="152">
        <f>SUMIF(MVTO!$C$3:$C$72,"Sócio_Thiago",MVTO!$Q$3:$Q$72)</f>
        <v>0</v>
      </c>
      <c r="Z36" s="105">
        <f t="shared" ref="Z36" si="89">Y36/$C$14</f>
        <v>0</v>
      </c>
      <c r="AA36" s="17">
        <f t="shared" si="2"/>
        <v>357243.02999999997</v>
      </c>
      <c r="AB36" s="23">
        <f t="shared" si="77"/>
        <v>9.66041234456749E-2</v>
      </c>
      <c r="AD36" s="29"/>
      <c r="AE36" s="29"/>
    </row>
    <row r="37" spans="2:31" x14ac:dyDescent="0.25">
      <c r="B37" s="10" t="s">
        <v>52</v>
      </c>
      <c r="C37" s="17">
        <f>SUMIF(MVTO!$C$3:$C$72,"Sócio_Pátricia",MVTO!$F$3:$F$72)</f>
        <v>42328.4</v>
      </c>
      <c r="D37" s="95">
        <f t="shared" si="87"/>
        <v>0.29047298379047326</v>
      </c>
      <c r="E37" s="17">
        <f>SUMIF(MVTO!$C$3:$C$72,"Sócio_Pátricia",MVTO!$G$3:$G$72)</f>
        <v>32152.639999999999</v>
      </c>
      <c r="F37" s="105">
        <f t="shared" si="68"/>
        <v>2.2417385973846578E-2</v>
      </c>
      <c r="G37" s="17">
        <f>SUMIF(MVTO!$C$3:$C$72,"Sócio_Pátricia",MVTO!$H$3:$H$72)</f>
        <v>31008.67</v>
      </c>
      <c r="H37" s="105">
        <f t="shared" si="69"/>
        <v>4.2803288107140854E-2</v>
      </c>
      <c r="I37" s="17">
        <f>SUMIF(MVTO!$C$3:$C$72,"Sócio_Pátricia",MVTO!$I$3:$I$72)</f>
        <v>46038.11</v>
      </c>
      <c r="J37" s="105">
        <f t="shared" si="70"/>
        <v>0.3991212556571952</v>
      </c>
      <c r="K37" s="17">
        <f>SUMIF(MVTO!$C$3:$C$72,"Sócio_Pátricia",MVTO!$J$3:$J$72)</f>
        <v>46008.67</v>
      </c>
      <c r="L37" s="105">
        <f t="shared" si="71"/>
        <v>0.39886602950289501</v>
      </c>
      <c r="M37" s="17">
        <f>SUMIF(MVTO!$C$3:$C$72,"Sócio_Pátricia",MVTO!$K$3:$K$72)</f>
        <v>46052.85</v>
      </c>
      <c r="N37" s="105">
        <f t="shared" si="72"/>
        <v>0.39924904212167833</v>
      </c>
      <c r="O37" s="17">
        <f>SUMIF(MVTO!$C$3:$C$72,"Sócio_Pátricia",MVTO!$L$3:$L$72)</f>
        <v>37200</v>
      </c>
      <c r="P37" s="105">
        <f t="shared" si="73"/>
        <v>0.32250043953688934</v>
      </c>
      <c r="Q37" s="17">
        <f>SUMIF(MVTO!$C$3:$C$72,"Sócio_Pátricia",MVTO!$M$3:$M$72)</f>
        <v>0</v>
      </c>
      <c r="R37" s="105">
        <f t="shared" si="74"/>
        <v>0</v>
      </c>
      <c r="S37" s="17">
        <f>SUMIF(MVTO!$C$3:$C$72,"Sócio_Pátricia",MVTO!$N$3:$N$72)</f>
        <v>0</v>
      </c>
      <c r="T37" s="105">
        <f t="shared" si="75"/>
        <v>0</v>
      </c>
      <c r="U37" s="152">
        <f>SUMIF(MVTO!$C$3:$C$72,"Sócio_Pátricia",MVTO!$O$3:$O$72)</f>
        <v>0</v>
      </c>
      <c r="V37" s="105">
        <f t="shared" si="75"/>
        <v>0</v>
      </c>
      <c r="W37" s="152">
        <f>SUMIF(MVTO!$C$3:$C$72,"Sócio_Pátricia",MVTO!$P$3:$P$72)</f>
        <v>0</v>
      </c>
      <c r="X37" s="105">
        <f t="shared" si="75"/>
        <v>0</v>
      </c>
      <c r="Y37" s="152">
        <f>SUMIF(MVTO!$C$3:$C$72,"Sócio_Pátricia",MVTO!$Q$3:$Q$72)</f>
        <v>0</v>
      </c>
      <c r="Z37" s="105">
        <f t="shared" ref="Z37" si="90">Y37/$C$14</f>
        <v>0</v>
      </c>
      <c r="AA37" s="17">
        <f t="shared" si="2"/>
        <v>280789.33999999997</v>
      </c>
      <c r="AB37" s="23">
        <f t="shared" si="77"/>
        <v>7.5929845471273669E-2</v>
      </c>
      <c r="AD37" s="29"/>
      <c r="AE37" s="29"/>
    </row>
    <row r="38" spans="2:31" x14ac:dyDescent="0.25">
      <c r="B38" s="10" t="s">
        <v>53</v>
      </c>
      <c r="C38" s="17">
        <f>SUMIF(MVTO!$C$3:$C$72,"Sócio_Tubertino",MVTO!$F$3:$F$72)</f>
        <v>38600</v>
      </c>
      <c r="D38" s="95">
        <f t="shared" si="87"/>
        <v>0.26488733744512594</v>
      </c>
      <c r="E38" s="17">
        <f>SUMIF(MVTO!$C$3:$C$72,"Sócio_Tubertino",MVTO!$G$3:$G$72)</f>
        <v>48573</v>
      </c>
      <c r="F38" s="105">
        <f t="shared" si="68"/>
        <v>3.3865949698303151E-2</v>
      </c>
      <c r="G38" s="17">
        <f>SUMIF(MVTO!$C$3:$C$72,"Sócio_Tubertino",MVTO!$H$3:$H$72)</f>
        <v>53541.84</v>
      </c>
      <c r="H38" s="105">
        <f t="shared" si="69"/>
        <v>7.3907291196508532E-2</v>
      </c>
      <c r="I38" s="17">
        <f>SUMIF(MVTO!$C$3:$C$72,"Sócio_Tubertino",MVTO!$I$3:$I$72)</f>
        <v>84580.160000000003</v>
      </c>
      <c r="J38" s="105">
        <f t="shared" si="70"/>
        <v>0.73325641871237712</v>
      </c>
      <c r="K38" s="17">
        <f>SUMIF(MVTO!$C$3:$C$72,"Sócio_Tubertino",MVTO!$J$3:$J$72)</f>
        <v>50526.6</v>
      </c>
      <c r="L38" s="105">
        <f t="shared" si="71"/>
        <v>0.43803362119098366</v>
      </c>
      <c r="M38" s="17">
        <f>SUMIF(MVTO!$C$3:$C$72,"Sócio_Tubertino",MVTO!$K$3:$K$72)</f>
        <v>54403.520000000004</v>
      </c>
      <c r="N38" s="105">
        <f t="shared" si="72"/>
        <v>0.47164406216005245</v>
      </c>
      <c r="O38" s="17">
        <f>SUMIF(MVTO!$C$3:$C$72,"Sócio_Tubertino",MVTO!$L$3:$L$72)</f>
        <v>113326.8</v>
      </c>
      <c r="P38" s="105">
        <f t="shared" si="73"/>
        <v>0.98247158094917075</v>
      </c>
      <c r="Q38" s="17">
        <f>SUMIF(MVTO!$C$3:$C$72,"Sócio_Tubertino",MVTO!$M$3:$M$72)</f>
        <v>0</v>
      </c>
      <c r="R38" s="105">
        <f t="shared" si="74"/>
        <v>0</v>
      </c>
      <c r="S38" s="17">
        <f>SUMIF(MVTO!$C$3:$C$72,"Sócio_Tubertino",MVTO!$N$3:$N$72)</f>
        <v>0</v>
      </c>
      <c r="T38" s="105">
        <f t="shared" si="75"/>
        <v>0</v>
      </c>
      <c r="U38" s="152">
        <f>SUMIF(MVTO!$C$3:$C$72,"Sócio_Tubertino",MVTO!$O$3:$O$72)</f>
        <v>0</v>
      </c>
      <c r="V38" s="105">
        <f t="shared" si="75"/>
        <v>0</v>
      </c>
      <c r="W38" s="152">
        <f>SUMIF(MVTO!$C$3:$C$72,"Sócio_Tubertino",MVTO!$P$3:$P$72)</f>
        <v>0</v>
      </c>
      <c r="X38" s="105">
        <f t="shared" si="75"/>
        <v>0</v>
      </c>
      <c r="Y38" s="152">
        <f>SUMIF(MVTO!$C$3:$C$72,"Sócio_Tubertino",MVTO!$Q$3:$Q$72)</f>
        <v>0</v>
      </c>
      <c r="Z38" s="105">
        <f t="shared" ref="Z38" si="91">Y38/$C$14</f>
        <v>0</v>
      </c>
      <c r="AA38" s="17">
        <f t="shared" si="2"/>
        <v>443551.92</v>
      </c>
      <c r="AB38" s="23">
        <f t="shared" si="77"/>
        <v>0.11994340221066348</v>
      </c>
      <c r="AD38" s="29"/>
      <c r="AE38" s="29"/>
    </row>
    <row r="39" spans="2:31" x14ac:dyDescent="0.25">
      <c r="B39" s="71" t="s">
        <v>141</v>
      </c>
      <c r="C39" s="72">
        <f>C33-C34</f>
        <v>-182388.65</v>
      </c>
      <c r="D39" s="101"/>
      <c r="E39" s="72">
        <f>E33-E34</f>
        <v>332592.29999999964</v>
      </c>
      <c r="F39" s="112"/>
      <c r="G39" s="72">
        <f t="shared" ref="G39" si="92">G33-G34</f>
        <v>317487.86000000004</v>
      </c>
      <c r="H39" s="112"/>
      <c r="I39" s="72">
        <f>I33-I34</f>
        <v>-422804.72000000003</v>
      </c>
      <c r="J39" s="112"/>
      <c r="K39" s="72">
        <f t="shared" ref="K39" si="93">K33-K34</f>
        <v>-108433.80999999991</v>
      </c>
      <c r="L39" s="112"/>
      <c r="M39" s="72">
        <f t="shared" ref="M39:O39" si="94">M33-M34</f>
        <v>-70025.999999999942</v>
      </c>
      <c r="N39" s="112"/>
      <c r="O39" s="72">
        <f t="shared" si="94"/>
        <v>-85811.379999999946</v>
      </c>
      <c r="P39" s="112"/>
      <c r="Q39" s="72">
        <f>Q33-Q34</f>
        <v>0</v>
      </c>
      <c r="R39" s="112"/>
      <c r="S39" s="72">
        <f t="shared" ref="S39" si="95">S33-S34</f>
        <v>0</v>
      </c>
      <c r="T39" s="112"/>
      <c r="U39" s="159">
        <f t="shared" ref="U39:W39" si="96">U33-U34</f>
        <v>0</v>
      </c>
      <c r="V39" s="112"/>
      <c r="W39" s="159">
        <f t="shared" si="96"/>
        <v>0</v>
      </c>
      <c r="X39" s="112"/>
      <c r="Y39" s="159">
        <f t="shared" ref="Y39" si="97">Y33-Y34</f>
        <v>0</v>
      </c>
      <c r="Z39" s="112"/>
      <c r="AA39" s="72">
        <f t="shared" si="2"/>
        <v>-219384.40000000017</v>
      </c>
      <c r="AB39" s="73"/>
      <c r="AD39" s="29"/>
      <c r="AE39" s="29"/>
    </row>
    <row r="41" spans="2:31" x14ac:dyDescent="0.25">
      <c r="K41" s="29"/>
    </row>
    <row r="42" spans="2:31" x14ac:dyDescent="0.25">
      <c r="B42" s="116" t="s">
        <v>142</v>
      </c>
      <c r="C42" s="117">
        <f>MVTO!F76</f>
        <v>233299.47</v>
      </c>
      <c r="D42" s="118"/>
      <c r="E42" s="117">
        <f>MVTO!G76</f>
        <v>50910.82</v>
      </c>
      <c r="F42" s="119"/>
      <c r="G42" s="117">
        <f>MVTO!H76</f>
        <v>383503.11</v>
      </c>
      <c r="H42" s="119"/>
      <c r="I42" s="117">
        <f>MVTO!I76</f>
        <v>700990.97</v>
      </c>
      <c r="J42" s="119"/>
      <c r="K42" s="117">
        <f>MVTO!J76</f>
        <v>278186.25</v>
      </c>
      <c r="L42" s="119"/>
      <c r="M42" s="117">
        <f>MVTO!K76</f>
        <v>169752.44</v>
      </c>
      <c r="N42" s="116"/>
      <c r="O42" s="117">
        <f>MVTO!L76</f>
        <v>99726.44</v>
      </c>
      <c r="P42" s="116"/>
      <c r="Q42" s="117">
        <f>MVTO!M76</f>
        <v>0</v>
      </c>
      <c r="R42" s="117"/>
      <c r="S42" s="117">
        <f>MVTO!N76</f>
        <v>0</v>
      </c>
      <c r="T42" s="117"/>
      <c r="U42" s="117">
        <f>MVTO!O76</f>
        <v>0</v>
      </c>
      <c r="V42" s="117"/>
      <c r="W42" s="117">
        <f>MVTO!P76</f>
        <v>0</v>
      </c>
      <c r="X42" s="117"/>
      <c r="Y42" s="117">
        <f>MVTO!Q76</f>
        <v>0</v>
      </c>
      <c r="Z42" s="116"/>
      <c r="AA42" s="117">
        <f>C42</f>
        <v>233299.47</v>
      </c>
    </row>
    <row r="43" spans="2:31" x14ac:dyDescent="0.25">
      <c r="B43" s="116" t="s">
        <v>143</v>
      </c>
      <c r="C43" s="117">
        <f>MVTO!F77</f>
        <v>50910.82</v>
      </c>
      <c r="D43" s="118"/>
      <c r="E43" s="117">
        <f>MVTO!G77</f>
        <v>383503.11</v>
      </c>
      <c r="F43" s="119"/>
      <c r="G43" s="117">
        <f>MVTO!H77</f>
        <v>700990.97</v>
      </c>
      <c r="H43" s="119"/>
      <c r="I43" s="117">
        <f>MVTO!I77</f>
        <v>278186.25</v>
      </c>
      <c r="J43" s="119"/>
      <c r="K43" s="117">
        <f>MVTO!J77</f>
        <v>169752.44</v>
      </c>
      <c r="L43" s="119"/>
      <c r="M43" s="117">
        <f>MVTO!K77</f>
        <v>99726.44</v>
      </c>
      <c r="N43" s="116"/>
      <c r="O43" s="117">
        <f>MVTO!L77</f>
        <v>13915.06</v>
      </c>
      <c r="P43" s="116"/>
      <c r="Q43" s="117">
        <f>MVTO!M77</f>
        <v>0</v>
      </c>
      <c r="R43" s="116"/>
      <c r="S43" s="117">
        <f>MVTO!N77</f>
        <v>0</v>
      </c>
      <c r="T43" s="117"/>
      <c r="U43" s="117">
        <f>MVTO!O77</f>
        <v>0</v>
      </c>
      <c r="V43" s="117"/>
      <c r="W43" s="117">
        <f>MVTO!P77</f>
        <v>0</v>
      </c>
      <c r="X43" s="117"/>
      <c r="Y43" s="117">
        <f>MVTO!Q77</f>
        <v>0</v>
      </c>
      <c r="Z43" s="117"/>
      <c r="AA43" s="117">
        <f>G43</f>
        <v>700990.97</v>
      </c>
    </row>
    <row r="44" spans="2:31" x14ac:dyDescent="0.25">
      <c r="E44" s="29"/>
      <c r="AA44" s="115"/>
    </row>
    <row r="45" spans="2:31" x14ac:dyDescent="0.25">
      <c r="C45" s="29">
        <f>C43-C42</f>
        <v>-182388.65</v>
      </c>
      <c r="D45" s="29"/>
      <c r="E45" s="29">
        <f t="shared" ref="E45:G45" si="98">E43-E42</f>
        <v>332592.28999999998</v>
      </c>
      <c r="F45" s="29"/>
      <c r="G45" s="29">
        <f t="shared" si="98"/>
        <v>317487.86</v>
      </c>
      <c r="Q45" s="120"/>
      <c r="R45" s="114"/>
      <c r="W45" s="29">
        <f>W42-W43</f>
        <v>0</v>
      </c>
      <c r="Y45" s="29">
        <f>Y42-Y43</f>
        <v>0</v>
      </c>
      <c r="AA45" s="29">
        <f>AA43-AA42</f>
        <v>467691.5</v>
      </c>
    </row>
    <row r="46" spans="2:31" x14ac:dyDescent="0.25">
      <c r="Q46" s="120"/>
      <c r="R46" s="114"/>
    </row>
    <row r="47" spans="2:31" hidden="1" x14ac:dyDescent="0.25">
      <c r="B47" s="141" t="s">
        <v>170</v>
      </c>
      <c r="C47" s="142"/>
      <c r="D47" s="143">
        <v>0</v>
      </c>
      <c r="M47" s="121"/>
      <c r="Q47" s="120"/>
      <c r="R47" s="114"/>
    </row>
    <row r="48" spans="2:31" hidden="1" x14ac:dyDescent="0.25">
      <c r="B48" s="141" t="s">
        <v>171</v>
      </c>
      <c r="C48" s="142"/>
      <c r="D48" s="143">
        <v>655906.92000000004</v>
      </c>
    </row>
  </sheetData>
  <mergeCells count="11">
    <mergeCell ref="Y5:Z5"/>
    <mergeCell ref="AA5:AB5"/>
    <mergeCell ref="K5:L5"/>
    <mergeCell ref="B4:B6"/>
    <mergeCell ref="C5:D5"/>
    <mergeCell ref="E5:F5"/>
    <mergeCell ref="G5:H5"/>
    <mergeCell ref="I5:J5"/>
    <mergeCell ref="M5:N5"/>
    <mergeCell ref="O5:P5"/>
    <mergeCell ref="Q5:R5"/>
  </mergeCells>
  <phoneticPr fontId="2" type="noConversion"/>
  <pageMargins left="0" right="0" top="0.78740157480314965" bottom="0.78740157480314965" header="0.31496062992125984" footer="0.31496062992125984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CA0C-4B13-4CA5-8669-62B0BE2CC390}">
  <dimension ref="B2:AB44"/>
  <sheetViews>
    <sheetView topLeftCell="C24" workbookViewId="0">
      <selection activeCell="O7" sqref="O7"/>
    </sheetView>
  </sheetViews>
  <sheetFormatPr defaultColWidth="8.85546875" defaultRowHeight="15" x14ac:dyDescent="0.25"/>
  <cols>
    <col min="1" max="1" width="8.85546875" style="4"/>
    <col min="2" max="2" width="33.85546875" style="4" customWidth="1"/>
    <col min="3" max="3" width="12.7109375" style="4" bestFit="1" customWidth="1"/>
    <col min="4" max="4" width="11.5703125" style="4" bestFit="1" customWidth="1"/>
    <col min="5" max="5" width="14.5703125" style="4" bestFit="1" customWidth="1"/>
    <col min="6" max="6" width="11.5703125" style="4" bestFit="1" customWidth="1"/>
    <col min="7" max="7" width="12.7109375" style="4" bestFit="1" customWidth="1"/>
    <col min="8" max="8" width="11.5703125" style="4" bestFit="1" customWidth="1"/>
    <col min="9" max="9" width="12.7109375" style="4" bestFit="1" customWidth="1"/>
    <col min="10" max="10" width="15.7109375" style="4" customWidth="1"/>
    <col min="11" max="11" width="12.7109375" style="4" bestFit="1" customWidth="1"/>
    <col min="12" max="12" width="12" style="4" bestFit="1" customWidth="1"/>
    <col min="13" max="13" width="12.7109375" style="4" bestFit="1" customWidth="1"/>
    <col min="14" max="14" width="12" style="4" bestFit="1" customWidth="1"/>
    <col min="15" max="15" width="12.7109375" style="4" bestFit="1" customWidth="1"/>
    <col min="16" max="16" width="12" style="4" bestFit="1" customWidth="1"/>
    <col min="17" max="17" width="8.28515625" style="4" bestFit="1" customWidth="1"/>
    <col min="18" max="18" width="12" style="4" bestFit="1" customWidth="1"/>
    <col min="19" max="19" width="8.28515625" style="4" bestFit="1" customWidth="1"/>
    <col min="20" max="20" width="12" style="4" bestFit="1" customWidth="1"/>
    <col min="21" max="21" width="8.28515625" style="4" bestFit="1" customWidth="1"/>
    <col min="22" max="22" width="12" style="4" bestFit="1" customWidth="1"/>
    <col min="23" max="23" width="8.28515625" style="4" bestFit="1" customWidth="1"/>
    <col min="24" max="24" width="12" style="4" bestFit="1" customWidth="1"/>
    <col min="25" max="25" width="8.28515625" style="4" bestFit="1" customWidth="1"/>
    <col min="26" max="26" width="12" style="4" bestFit="1" customWidth="1"/>
    <col min="27" max="27" width="14.42578125" style="4" bestFit="1" customWidth="1"/>
    <col min="28" max="28" width="11.5703125" style="4" bestFit="1" customWidth="1"/>
    <col min="29" max="16384" width="8.85546875" style="4"/>
  </cols>
  <sheetData>
    <row r="2" spans="2:28" ht="23.25" x14ac:dyDescent="0.35">
      <c r="B2" s="127"/>
    </row>
    <row r="3" spans="2:28" ht="24" thickBot="1" x14ac:dyDescent="0.4">
      <c r="B3" s="127">
        <v>2026</v>
      </c>
    </row>
    <row r="4" spans="2:28" ht="15.75" thickBot="1" x14ac:dyDescent="0.3">
      <c r="B4" s="175" t="s">
        <v>94</v>
      </c>
    </row>
    <row r="5" spans="2:28" x14ac:dyDescent="0.25">
      <c r="B5" s="176"/>
      <c r="C5" s="180" t="s">
        <v>34</v>
      </c>
      <c r="D5" s="181"/>
      <c r="E5" s="180" t="s">
        <v>35</v>
      </c>
      <c r="F5" s="181"/>
      <c r="G5" s="180" t="s">
        <v>36</v>
      </c>
      <c r="H5" s="181"/>
      <c r="I5" s="180" t="s">
        <v>37</v>
      </c>
      <c r="J5" s="181"/>
      <c r="K5" s="180" t="s">
        <v>38</v>
      </c>
      <c r="L5" s="181"/>
      <c r="M5" s="180" t="s">
        <v>39</v>
      </c>
      <c r="N5" s="181"/>
      <c r="O5" s="180" t="s">
        <v>40</v>
      </c>
      <c r="P5" s="181"/>
      <c r="Q5" s="180" t="s">
        <v>41</v>
      </c>
      <c r="R5" s="181"/>
      <c r="S5" s="180" t="s">
        <v>42</v>
      </c>
      <c r="T5" s="181"/>
      <c r="U5" s="180" t="s">
        <v>43</v>
      </c>
      <c r="V5" s="181"/>
      <c r="W5" s="180" t="s">
        <v>44</v>
      </c>
      <c r="X5" s="181"/>
      <c r="Y5" s="180" t="s">
        <v>45</v>
      </c>
      <c r="Z5" s="181"/>
      <c r="AA5" s="180" t="s">
        <v>97</v>
      </c>
      <c r="AB5" s="181"/>
    </row>
    <row r="6" spans="2:28" ht="15.75" thickBot="1" x14ac:dyDescent="0.3">
      <c r="B6" s="177"/>
      <c r="C6" s="59" t="s">
        <v>92</v>
      </c>
      <c r="D6" s="60" t="s">
        <v>93</v>
      </c>
      <c r="E6" s="59" t="s">
        <v>92</v>
      </c>
      <c r="F6" s="60" t="s">
        <v>93</v>
      </c>
      <c r="G6" s="59" t="s">
        <v>92</v>
      </c>
      <c r="H6" s="60" t="s">
        <v>93</v>
      </c>
      <c r="I6" s="59" t="s">
        <v>92</v>
      </c>
      <c r="J6" s="60" t="s">
        <v>93</v>
      </c>
      <c r="K6" s="59" t="s">
        <v>92</v>
      </c>
      <c r="L6" s="60" t="s">
        <v>93</v>
      </c>
      <c r="M6" s="59" t="s">
        <v>92</v>
      </c>
      <c r="N6" s="60" t="s">
        <v>93</v>
      </c>
      <c r="O6" s="59" t="s">
        <v>92</v>
      </c>
      <c r="P6" s="60" t="s">
        <v>93</v>
      </c>
      <c r="Q6" s="59" t="s">
        <v>92</v>
      </c>
      <c r="R6" s="60" t="s">
        <v>93</v>
      </c>
      <c r="S6" s="59" t="s">
        <v>92</v>
      </c>
      <c r="T6" s="60" t="s">
        <v>93</v>
      </c>
      <c r="U6" s="59" t="s">
        <v>92</v>
      </c>
      <c r="V6" s="60" t="s">
        <v>93</v>
      </c>
      <c r="W6" s="59" t="s">
        <v>92</v>
      </c>
      <c r="X6" s="60" t="s">
        <v>93</v>
      </c>
      <c r="Y6" s="59" t="s">
        <v>92</v>
      </c>
      <c r="Z6" s="60" t="s">
        <v>93</v>
      </c>
      <c r="AA6" s="59" t="s">
        <v>92</v>
      </c>
      <c r="AB6" s="60" t="s">
        <v>93</v>
      </c>
    </row>
    <row r="7" spans="2:28" x14ac:dyDescent="0.25">
      <c r="B7" s="7" t="s">
        <v>67</v>
      </c>
      <c r="C7" s="16">
        <f>MVTO!F3</f>
        <v>19875.28</v>
      </c>
      <c r="D7" s="16"/>
      <c r="E7" s="16">
        <f>MVTO!G3-MVTO!G25</f>
        <v>40161.629999999997</v>
      </c>
      <c r="F7" s="16"/>
      <c r="G7" s="16">
        <f>MVTO!H3</f>
        <v>38795.06</v>
      </c>
      <c r="H7" s="16"/>
      <c r="I7" s="16">
        <f>MVTO!I3</f>
        <v>26231.38</v>
      </c>
      <c r="J7" s="16"/>
      <c r="K7" s="16">
        <f>MVTO!J3</f>
        <v>51183.74</v>
      </c>
      <c r="L7" s="16"/>
      <c r="M7" s="16">
        <f>MVTO!K3</f>
        <v>34086.269999999997</v>
      </c>
      <c r="N7" s="16"/>
      <c r="O7" s="16">
        <f>MVTO!L3</f>
        <v>40272.17</v>
      </c>
      <c r="P7" s="16"/>
      <c r="Q7" s="16">
        <f>MVTO!M3</f>
        <v>0</v>
      </c>
      <c r="R7" s="16"/>
      <c r="S7" s="123">
        <f>MVTO!N3</f>
        <v>0</v>
      </c>
      <c r="T7" s="16"/>
      <c r="U7" s="16">
        <f>MVTO!O3</f>
        <v>0</v>
      </c>
      <c r="V7" s="16"/>
      <c r="W7" s="16">
        <f>MVTO!P3</f>
        <v>0</v>
      </c>
      <c r="X7" s="16"/>
      <c r="Y7" s="16">
        <f>MVTO!Q3</f>
        <v>0</v>
      </c>
      <c r="Z7" s="16"/>
      <c r="AA7" s="16">
        <f>MVTO!R3-MVTO!R25</f>
        <v>250605.52999999997</v>
      </c>
      <c r="AB7" s="16"/>
    </row>
    <row r="8" spans="2:28" x14ac:dyDescent="0.25">
      <c r="B8" s="7" t="s">
        <v>68</v>
      </c>
      <c r="C8" s="16">
        <f>MVTO!F4</f>
        <v>25000</v>
      </c>
      <c r="D8" s="16"/>
      <c r="E8" s="16">
        <f>MVTO!G4</f>
        <v>980250.35</v>
      </c>
      <c r="F8" s="16"/>
      <c r="G8" s="16">
        <f>MVTO!H4</f>
        <v>60836.15</v>
      </c>
      <c r="H8" s="16"/>
      <c r="I8" s="16">
        <f>MVTO!I4</f>
        <v>2177</v>
      </c>
      <c r="J8" s="16"/>
      <c r="K8" s="16">
        <f>MVTO!J4</f>
        <v>220742.97</v>
      </c>
      <c r="L8" s="16"/>
      <c r="M8" s="16">
        <f>MVTO!K4</f>
        <v>40000</v>
      </c>
      <c r="N8" s="16"/>
      <c r="O8" s="16">
        <f>MVTO!L4</f>
        <v>20000</v>
      </c>
      <c r="P8" s="16"/>
      <c r="Q8" s="16">
        <f>MVTO!M4</f>
        <v>0</v>
      </c>
      <c r="R8" s="16"/>
      <c r="S8" s="123">
        <f>MVTO!N4</f>
        <v>0</v>
      </c>
      <c r="T8" s="123"/>
      <c r="U8" s="123">
        <f>MVTO!O4</f>
        <v>0</v>
      </c>
      <c r="V8" s="123"/>
      <c r="W8" s="123">
        <f>MVTO!P4</f>
        <v>0</v>
      </c>
      <c r="X8" s="123"/>
      <c r="Y8" s="123">
        <f>MVTO!Q4</f>
        <v>0</v>
      </c>
      <c r="Z8" s="16"/>
      <c r="AA8" s="16">
        <f>MVTO!R4</f>
        <v>1349006.47</v>
      </c>
      <c r="AB8" s="16"/>
    </row>
    <row r="9" spans="2:28" x14ac:dyDescent="0.25">
      <c r="B9" s="7" t="s">
        <v>69</v>
      </c>
      <c r="C9" s="16">
        <f>MVTO!F5</f>
        <v>100847.05</v>
      </c>
      <c r="D9" s="16"/>
      <c r="E9" s="16">
        <f>MVTO!G5</f>
        <v>140045.89000000001</v>
      </c>
      <c r="F9" s="16"/>
      <c r="G9" s="16">
        <f>MVTO!H5</f>
        <v>342469.87</v>
      </c>
      <c r="H9" s="16"/>
      <c r="I9" s="16">
        <f>MVTO!I5</f>
        <v>12000</v>
      </c>
      <c r="J9" s="16"/>
      <c r="K9" s="16">
        <f>MVTO!J5</f>
        <v>13425</v>
      </c>
      <c r="L9" s="16"/>
      <c r="M9" s="16">
        <f>MVTO!K5</f>
        <v>233116.41</v>
      </c>
      <c r="N9" s="16"/>
      <c r="O9" s="16">
        <f>MVTO!L5</f>
        <v>108332.31</v>
      </c>
      <c r="P9" s="16"/>
      <c r="Q9" s="16">
        <f>MVTO!M5</f>
        <v>0</v>
      </c>
      <c r="R9" s="16"/>
      <c r="S9" s="123">
        <f>MVTO!N5</f>
        <v>0</v>
      </c>
      <c r="T9" s="123"/>
      <c r="U9" s="123">
        <f>MVTO!O5</f>
        <v>0</v>
      </c>
      <c r="V9" s="123"/>
      <c r="W9" s="123">
        <f>MVTO!P5</f>
        <v>0</v>
      </c>
      <c r="X9" s="123"/>
      <c r="Y9" s="123">
        <f>MVTO!Q5</f>
        <v>0</v>
      </c>
      <c r="Z9" s="16"/>
      <c r="AA9" s="16">
        <f>MVTO!R5</f>
        <v>950236.53</v>
      </c>
      <c r="AB9" s="16"/>
    </row>
    <row r="10" spans="2:28" x14ac:dyDescent="0.25">
      <c r="B10" s="7" t="s">
        <v>70</v>
      </c>
      <c r="C10" s="16">
        <f>MVTO!F6</f>
        <v>0</v>
      </c>
      <c r="D10" s="16"/>
      <c r="E10" s="16">
        <f>MVTO!G6</f>
        <v>173814.62</v>
      </c>
      <c r="F10" s="16"/>
      <c r="G10" s="16">
        <f>MVTO!H6</f>
        <v>182344.9</v>
      </c>
      <c r="H10" s="16"/>
      <c r="I10" s="16">
        <f>MVTO!I6</f>
        <v>74940.3</v>
      </c>
      <c r="J10" s="16"/>
      <c r="K10" s="16">
        <f>MVTO!J6</f>
        <v>12000</v>
      </c>
      <c r="L10" s="16"/>
      <c r="M10" s="16">
        <f>MVTO!K6</f>
        <v>92193.49</v>
      </c>
      <c r="N10" s="16"/>
      <c r="O10" s="16">
        <f>MVTO!L6</f>
        <v>162868.32</v>
      </c>
      <c r="P10" s="16"/>
      <c r="Q10" s="16">
        <f>MVTO!M6</f>
        <v>0</v>
      </c>
      <c r="R10" s="16"/>
      <c r="S10" s="123">
        <f>MVTO!N6</f>
        <v>0</v>
      </c>
      <c r="T10" s="123"/>
      <c r="U10" s="123">
        <f>MVTO!O6</f>
        <v>0</v>
      </c>
      <c r="V10" s="123"/>
      <c r="W10" s="123">
        <f>MVTO!P6</f>
        <v>0</v>
      </c>
      <c r="X10" s="123"/>
      <c r="Y10" s="123">
        <f>MVTO!Q6</f>
        <v>0</v>
      </c>
      <c r="Z10" s="16"/>
      <c r="AA10" s="16">
        <f>MVTO!R6</f>
        <v>698161.63000000012</v>
      </c>
      <c r="AB10" s="16"/>
    </row>
    <row r="11" spans="2:28" ht="15.75" thickBot="1" x14ac:dyDescent="0.3">
      <c r="B11" s="7" t="s">
        <v>150</v>
      </c>
      <c r="C11" s="16">
        <f>MVTO!F7</f>
        <v>0</v>
      </c>
      <c r="D11" s="16"/>
      <c r="E11" s="16">
        <f>MVTO!G7</f>
        <v>100000</v>
      </c>
      <c r="F11" s="16"/>
      <c r="G11" s="16">
        <f>MVTO!H7</f>
        <v>100000</v>
      </c>
      <c r="H11" s="16"/>
      <c r="I11" s="16">
        <f>MVTO!I7</f>
        <v>0</v>
      </c>
      <c r="J11" s="16"/>
      <c r="K11" s="16">
        <f>MVTO!J7</f>
        <v>100000</v>
      </c>
      <c r="L11" s="16"/>
      <c r="M11" s="16">
        <f>MVTO!K7</f>
        <v>50000</v>
      </c>
      <c r="N11" s="16"/>
      <c r="O11" s="16">
        <f>MVTO!L7</f>
        <v>100000</v>
      </c>
      <c r="P11" s="16"/>
      <c r="Q11" s="16">
        <f>MVTO!M7</f>
        <v>0</v>
      </c>
      <c r="R11" s="16"/>
      <c r="S11" s="123">
        <f>MVTO!N7</f>
        <v>0</v>
      </c>
      <c r="T11" s="123"/>
      <c r="U11" s="123">
        <f>MVTO!O7</f>
        <v>0</v>
      </c>
      <c r="V11" s="123"/>
      <c r="W11" s="123">
        <f>MVTO!P7</f>
        <v>0</v>
      </c>
      <c r="X11" s="123">
        <f>MVTO!Q7</f>
        <v>0</v>
      </c>
      <c r="Y11" s="123">
        <f>MVTO!Q7</f>
        <v>0</v>
      </c>
      <c r="Z11" s="123">
        <f>MVTO!S7</f>
        <v>0</v>
      </c>
      <c r="AA11" s="123">
        <f>MVTO!R7</f>
        <v>450000</v>
      </c>
      <c r="AB11" s="16"/>
    </row>
    <row r="12" spans="2:28" ht="15.75" thickBot="1" x14ac:dyDescent="0.3">
      <c r="B12" s="61" t="s">
        <v>73</v>
      </c>
      <c r="C12" s="62">
        <f>C7</f>
        <v>19875.28</v>
      </c>
      <c r="D12" s="62"/>
      <c r="E12" s="62">
        <f>E7</f>
        <v>40161.629999999997</v>
      </c>
      <c r="F12" s="62"/>
      <c r="G12" s="62">
        <f>G7</f>
        <v>38795.06</v>
      </c>
      <c r="H12" s="62"/>
      <c r="I12" s="62">
        <f>I7</f>
        <v>26231.38</v>
      </c>
      <c r="J12" s="62"/>
      <c r="K12" s="62">
        <f>K7</f>
        <v>51183.74</v>
      </c>
      <c r="L12" s="62"/>
      <c r="M12" s="62">
        <f>M7</f>
        <v>34086.269999999997</v>
      </c>
      <c r="N12" s="62"/>
      <c r="O12" s="62">
        <f>O7</f>
        <v>40272.17</v>
      </c>
      <c r="P12" s="62"/>
      <c r="Q12" s="62">
        <f>Q7</f>
        <v>0</v>
      </c>
      <c r="R12" s="62"/>
      <c r="S12" s="124">
        <f>S7</f>
        <v>0</v>
      </c>
      <c r="T12" s="62"/>
      <c r="U12" s="62">
        <f>U7</f>
        <v>0</v>
      </c>
      <c r="V12" s="62"/>
      <c r="W12" s="62">
        <f>W7</f>
        <v>0</v>
      </c>
      <c r="X12" s="62"/>
      <c r="Y12" s="62">
        <f>Y7</f>
        <v>0</v>
      </c>
      <c r="Z12" s="62"/>
      <c r="AA12" s="62">
        <f>AA7</f>
        <v>250605.52999999997</v>
      </c>
      <c r="AB12" s="62"/>
    </row>
    <row r="13" spans="2:28" ht="15.75" thickBot="1" x14ac:dyDescent="0.3">
      <c r="B13" s="61" t="s">
        <v>75</v>
      </c>
      <c r="C13" s="63">
        <f>SUM(C8:C10)</f>
        <v>125847.05</v>
      </c>
      <c r="D13" s="63"/>
      <c r="E13" s="63">
        <f>SUM(E8:E11)</f>
        <v>1394110.8599999999</v>
      </c>
      <c r="F13" s="63"/>
      <c r="G13" s="63">
        <f>SUM(G8:G11)</f>
        <v>685650.92</v>
      </c>
      <c r="H13" s="63"/>
      <c r="I13" s="63">
        <f>SUM(I8:I11)</f>
        <v>89117.3</v>
      </c>
      <c r="J13" s="63"/>
      <c r="K13" s="63">
        <f>SUM(K8:K11)</f>
        <v>346167.97</v>
      </c>
      <c r="L13" s="63"/>
      <c r="M13" s="63">
        <f>SUM(M8:M11)</f>
        <v>415309.9</v>
      </c>
      <c r="N13" s="63"/>
      <c r="O13" s="63">
        <f>SUM(O8:O11)</f>
        <v>391200.63</v>
      </c>
      <c r="P13" s="63"/>
      <c r="Q13" s="63">
        <f>SUM(Q8:Q11)</f>
        <v>0</v>
      </c>
      <c r="R13" s="63"/>
      <c r="S13" s="125">
        <f>SUM(S8:S11)</f>
        <v>0</v>
      </c>
      <c r="T13" s="63"/>
      <c r="U13" s="63">
        <f>SUM(U8:U11)</f>
        <v>0</v>
      </c>
      <c r="V13" s="63"/>
      <c r="W13" s="63">
        <f>SUM(W8:W11)</f>
        <v>0</v>
      </c>
      <c r="X13" s="63"/>
      <c r="Y13" s="63">
        <f>SUM(Y8:Y11)</f>
        <v>0</v>
      </c>
      <c r="Z13" s="63"/>
      <c r="AA13" s="63">
        <f>SUM(AA8:AA11)</f>
        <v>3447404.63</v>
      </c>
      <c r="AB13" s="63"/>
    </row>
    <row r="14" spans="2:28" ht="15.75" thickBot="1" x14ac:dyDescent="0.3">
      <c r="B14" s="61" t="s">
        <v>74</v>
      </c>
      <c r="C14" s="62">
        <f>SUM(C12:C13)</f>
        <v>145722.33000000002</v>
      </c>
      <c r="D14" s="62"/>
      <c r="E14" s="62">
        <f t="shared" ref="E14" si="0">SUM(E12:E13)</f>
        <v>1434272.4899999998</v>
      </c>
      <c r="F14" s="62"/>
      <c r="G14" s="62">
        <f t="shared" ref="G14" si="1">SUM(G12:G13)</f>
        <v>724445.98</v>
      </c>
      <c r="H14" s="62"/>
      <c r="I14" s="62">
        <f>SUM(I12:I13)</f>
        <v>115348.68000000001</v>
      </c>
      <c r="J14" s="62"/>
      <c r="K14" s="62">
        <f>SUM(K12:K13)</f>
        <v>397351.70999999996</v>
      </c>
      <c r="L14" s="62"/>
      <c r="M14" s="62">
        <f>SUM(M12:M13)</f>
        <v>449396.17000000004</v>
      </c>
      <c r="N14" s="62"/>
      <c r="O14" s="62">
        <f>SUM(O12:O13)</f>
        <v>431472.8</v>
      </c>
      <c r="P14" s="62"/>
      <c r="Q14" s="62">
        <f>SUM(Q12:Q13)</f>
        <v>0</v>
      </c>
      <c r="R14" s="62"/>
      <c r="S14" s="124">
        <f>SUM(S12:S13)</f>
        <v>0</v>
      </c>
      <c r="T14" s="62"/>
      <c r="U14" s="62">
        <f>SUM(U12:U13)</f>
        <v>0</v>
      </c>
      <c r="V14" s="62"/>
      <c r="W14" s="62">
        <f>SUM(W12:W13)</f>
        <v>0</v>
      </c>
      <c r="X14" s="62"/>
      <c r="Y14" s="62">
        <f t="shared" ref="Y14" si="2">SUM(Y12:Y13)</f>
        <v>0</v>
      </c>
      <c r="Z14" s="62"/>
      <c r="AA14" s="62">
        <f>SUM(AA12:AA13)</f>
        <v>3698010.1599999997</v>
      </c>
      <c r="AB14" s="62"/>
    </row>
    <row r="15" spans="2:28" x14ac:dyDescent="0.25">
      <c r="B15" s="5" t="s">
        <v>77</v>
      </c>
      <c r="C15" s="17">
        <f>SUMIF(MVTO!$C$3:$C$72,"Imp_Receita",MVTO!$F$3:$F$72)</f>
        <v>20540.010000000002</v>
      </c>
      <c r="D15" s="17"/>
      <c r="E15" s="17">
        <f>SUMIF(MVTO!$C$3:$C$72,"Imp_Receita",MVTO!$G$3:$G$72)</f>
        <v>18169.349999999999</v>
      </c>
      <c r="F15" s="17"/>
      <c r="G15" s="17">
        <f>SUMIF(MVTO!$C$3:$C$72,"Imp_Receita",MVTO!$H$3:$H$72)</f>
        <v>17598.969999999998</v>
      </c>
      <c r="H15" s="17"/>
      <c r="I15" s="17">
        <f>SUMIF(MVTO!$C$3:$C$72,"Imp_Receita",MVTO!$I$3:$I$72)</f>
        <v>18497.11</v>
      </c>
      <c r="J15" s="17"/>
      <c r="K15" s="17">
        <f>SUMIF(MVTO!$C$3:$C$72,"Imp_Receita",MVTO!$J$3:$J$72)</f>
        <v>18618.72</v>
      </c>
      <c r="L15" s="17"/>
      <c r="M15" s="17">
        <f>SUMIF(MVTO!$C$3:$C$72,"Imp_Receita",MVTO!$K$3:$K$72)</f>
        <v>18723.36</v>
      </c>
      <c r="N15" s="17"/>
      <c r="O15" s="17">
        <f>SUMIF(MVTO!$C$3:$C$72,"Imp_Receita",MVTO!$L$3:$L$72)</f>
        <v>17509.599999999999</v>
      </c>
      <c r="P15" s="17"/>
      <c r="Q15" s="17">
        <f>SUMIF(MVTO!$C$3:$C$72,"Imp_Receita",MVTO!$M$3:$M$72)</f>
        <v>0</v>
      </c>
      <c r="R15" s="17"/>
      <c r="S15" s="17">
        <f>SUMIF(MVTO!$C$3:$C$72,"Imp_Receita",MVTO!$N$3:$N$72)</f>
        <v>0</v>
      </c>
      <c r="T15" s="17"/>
      <c r="U15" s="17">
        <f>SUMIF(MVTO!$C$3:$C$72,"Imp_Receita",MVTO!$O$3:$O$72)</f>
        <v>0</v>
      </c>
      <c r="V15" s="17"/>
      <c r="W15" s="17">
        <f>SUMIF(MVTO!$C$3:$C$72,"Imp_Receita",MVTO!$P$3:$P$72)</f>
        <v>0</v>
      </c>
      <c r="X15" s="17"/>
      <c r="Y15" s="17">
        <f>SUMIF(MVTO!$C$3:$C$72,"Imp_Receita",MVTO!$Q$3:$Q$72)</f>
        <v>0</v>
      </c>
      <c r="Z15" s="17"/>
      <c r="AA15" s="17">
        <f>SUMIF(MVTO!$C$3:$C$72,"Imp_Receita",MVTO!$R$3:$R$72)</f>
        <v>129524.59000000001</v>
      </c>
      <c r="AB15" s="17"/>
    </row>
    <row r="16" spans="2:28" ht="15.75" thickBot="1" x14ac:dyDescent="0.3">
      <c r="B16" s="5" t="s">
        <v>79</v>
      </c>
      <c r="C16" s="17">
        <f>SUMIF(MVTO!$C$3:$C$72,"Rec_Despesa",MVTO!$F$3:$F$72)</f>
        <v>0</v>
      </c>
      <c r="D16" s="17"/>
      <c r="E16" s="17">
        <f>SUMIF(MVTO!$C$3:$C$72,"Rec_Despesa",MVTO!$G$3:$G$72)</f>
        <v>0</v>
      </c>
      <c r="F16" s="17"/>
      <c r="G16" s="17">
        <f>SUMIF(MVTO!$C$3:$C$72,"Rec_Despesa",MVTO!$H$3:$H$72)</f>
        <v>0</v>
      </c>
      <c r="H16" s="17"/>
      <c r="I16" s="17">
        <f>SUMIF(MVTO!$C$3:$C$72,"Rec_Despesa",MVTO!$I$3:$I$72)</f>
        <v>0</v>
      </c>
      <c r="J16" s="17"/>
      <c r="K16" s="17">
        <f>SUMIF(MVTO!$C$3:$C$72,"Rec_Despesa",MVTO!$J$3:$J$72)</f>
        <v>0</v>
      </c>
      <c r="L16" s="17"/>
      <c r="M16" s="17">
        <f>SUMIF(MVTO!$C$3:$C$72,"Rec_Despesa",MVTO!$K$3:$K$72)</f>
        <v>0</v>
      </c>
      <c r="N16" s="17"/>
      <c r="O16" s="17">
        <f>SUMIF(MVTO!$C$3:$C$72,"Rec_Despesa",MVTO!$L$3:$L$72)</f>
        <v>0</v>
      </c>
      <c r="P16" s="17"/>
      <c r="Q16" s="17">
        <f>SUMIF(MVTO!$C$3:$C$72,"Rec_Despesa",MVTO!$M$3:$M$72)</f>
        <v>0</v>
      </c>
      <c r="R16" s="17"/>
      <c r="S16" s="17">
        <f>SUMIF(MVTO!$C$3:$C$72,"Rec_Despesa",MVTO!$N$3:$N$72)</f>
        <v>0</v>
      </c>
      <c r="T16" s="17"/>
      <c r="U16" s="17">
        <f>SUMIF(MVTO!$C$3:$C$72,"Rec_Despesa",MVTO!$O$3:$O$72)</f>
        <v>0</v>
      </c>
      <c r="V16" s="17"/>
      <c r="W16" s="17">
        <f>SUMIF(MVTO!$C$3:$C$72,"Rec_Despesa",MVTO!$O$3:$O$72)</f>
        <v>0</v>
      </c>
      <c r="X16" s="17"/>
      <c r="Y16" s="17">
        <f>SUMIF(MVTO!$C$3:$C$72,"Rec_Despesa",MVTO!$Q$3:$Q$72)</f>
        <v>0</v>
      </c>
      <c r="Z16" s="17"/>
      <c r="AA16" s="17">
        <f>SUMIF(MVTO!$C$3:$C$72,"Rec_Despesa",MVTO!$R$3:$R$72)</f>
        <v>0</v>
      </c>
      <c r="AB16" s="17"/>
    </row>
    <row r="17" spans="2:28" ht="15.75" thickBot="1" x14ac:dyDescent="0.3">
      <c r="B17" s="8" t="s">
        <v>76</v>
      </c>
      <c r="C17" s="19">
        <f>C14-C15+C16</f>
        <v>125182.32</v>
      </c>
      <c r="D17" s="19"/>
      <c r="E17" s="19">
        <f>E14-E15+E16</f>
        <v>1416103.1399999997</v>
      </c>
      <c r="F17" s="19"/>
      <c r="G17" s="19">
        <f>G14-G15+G16</f>
        <v>706847.01</v>
      </c>
      <c r="H17" s="19"/>
      <c r="I17" s="19">
        <f>I14-I15+I16</f>
        <v>96851.57</v>
      </c>
      <c r="J17" s="19"/>
      <c r="K17" s="19">
        <f t="shared" ref="K17" si="3">K14-K15+K16</f>
        <v>378732.99</v>
      </c>
      <c r="L17" s="19"/>
      <c r="M17" s="19">
        <f>M14-M15+M16</f>
        <v>430672.81000000006</v>
      </c>
      <c r="N17" s="19"/>
      <c r="O17" s="19">
        <f>O14-O15+O16</f>
        <v>413963.2</v>
      </c>
      <c r="P17" s="19"/>
      <c r="Q17" s="19">
        <f>Q14-Q15+Q16</f>
        <v>0</v>
      </c>
      <c r="R17" s="19"/>
      <c r="S17" s="19">
        <f>S14-S15+S16</f>
        <v>0</v>
      </c>
      <c r="T17" s="19"/>
      <c r="U17" s="19">
        <f>U14-U15+U16</f>
        <v>0</v>
      </c>
      <c r="V17" s="19"/>
      <c r="W17" s="19">
        <f t="shared" ref="W17" si="4">W14-W15+W16</f>
        <v>0</v>
      </c>
      <c r="X17" s="19"/>
      <c r="Y17" s="19">
        <f t="shared" ref="Y17" si="5">Y14-Y15+Y16</f>
        <v>0</v>
      </c>
      <c r="Z17" s="19"/>
      <c r="AA17" s="19">
        <f>AA14-AA15+AA16</f>
        <v>3568485.57</v>
      </c>
      <c r="AB17" s="19"/>
    </row>
    <row r="18" spans="2:28" ht="15.75" thickBot="1" x14ac:dyDescent="0.3">
      <c r="B18" s="9" t="s">
        <v>80</v>
      </c>
      <c r="C18" s="20">
        <f>SUM(C19:C24)</f>
        <v>58258.9</v>
      </c>
      <c r="D18" s="20"/>
      <c r="E18" s="20">
        <f>SUM(E19:E24)</f>
        <v>93360.549999999988</v>
      </c>
      <c r="F18" s="20"/>
      <c r="G18" s="20">
        <f>SUM(G19:G24)</f>
        <v>73693.08</v>
      </c>
      <c r="H18" s="20"/>
      <c r="I18" s="20">
        <f>SUM(I19:I24)</f>
        <v>64229.990000000005</v>
      </c>
      <c r="J18" s="20"/>
      <c r="K18" s="20">
        <f t="shared" ref="K18" si="6">SUM(K19:K24)</f>
        <v>73113.22</v>
      </c>
      <c r="L18" s="20"/>
      <c r="M18" s="20">
        <f>SUM(M19:M24)</f>
        <v>76137.62999999999</v>
      </c>
      <c r="N18" s="20"/>
      <c r="O18" s="20">
        <f>SUM(O19:O24)</f>
        <v>65424.67</v>
      </c>
      <c r="P18" s="20"/>
      <c r="Q18" s="20">
        <f>SUM(Q19:Q24)</f>
        <v>0</v>
      </c>
      <c r="R18" s="20"/>
      <c r="S18" s="20">
        <f t="shared" ref="S18:W18" si="7">SUM(S19:S24)</f>
        <v>0</v>
      </c>
      <c r="T18" s="20"/>
      <c r="U18" s="20">
        <f>SUM(U19:U24)</f>
        <v>0</v>
      </c>
      <c r="V18" s="20"/>
      <c r="W18" s="20">
        <f t="shared" si="7"/>
        <v>0</v>
      </c>
      <c r="X18" s="20"/>
      <c r="Y18" s="20">
        <f t="shared" ref="Y18" si="8">SUM(Y19:Y24)</f>
        <v>0</v>
      </c>
      <c r="Z18" s="20"/>
      <c r="AA18" s="20">
        <f>SUM(AA19:AA24)</f>
        <v>504218.04</v>
      </c>
      <c r="AB18" s="20"/>
    </row>
    <row r="19" spans="2:28" x14ac:dyDescent="0.25">
      <c r="B19" s="10" t="s">
        <v>81</v>
      </c>
      <c r="C19" s="17">
        <f>SUMIF(MVTO!$C$3:$C$72,"Aluguel",MVTO!$F$3:$F$72)</f>
        <v>56764</v>
      </c>
      <c r="D19" s="17"/>
      <c r="E19" s="17">
        <f>SUMIF(MVTO!$C$3:$C$72,"Aluguel",MVTO!$G$3:$G$72)</f>
        <v>57185</v>
      </c>
      <c r="F19" s="17"/>
      <c r="G19" s="17">
        <f>SUMIF(MVTO!$C$3:$C$72,"Aluguel",MVTO!$H$3:$H$72)</f>
        <v>57185</v>
      </c>
      <c r="H19" s="17"/>
      <c r="I19" s="17">
        <f>SUMIF(MVTO!$C$3:$C$72,"Aluguel",MVTO!$I$3:$I$72)</f>
        <v>57185</v>
      </c>
      <c r="J19" s="17"/>
      <c r="K19" s="17">
        <f>SUMIF(MVTO!$C$3:$C$72,"Aluguel",MVTO!$J$3:$J$72)</f>
        <v>57251</v>
      </c>
      <c r="L19" s="17"/>
      <c r="M19" s="17">
        <f>SUMIF(MVTO!$C$3:$C$72,"Aluguel",MVTO!$K$3:$K$72)</f>
        <v>57251</v>
      </c>
      <c r="N19" s="17"/>
      <c r="O19" s="17">
        <f>SUMIF(MVTO!$C$3:$C$72,"Aluguel",MVTO!$L$3:$L$72)</f>
        <v>57251</v>
      </c>
      <c r="P19" s="17"/>
      <c r="Q19" s="17">
        <f>SUMIF(MVTO!$C$3:$C$72,"Aluguel",MVTO!$M$3:$M$72)</f>
        <v>0</v>
      </c>
      <c r="R19" s="17"/>
      <c r="S19" s="17">
        <f>SUMIF(MVTO!$C$3:$C$72,"Aluguel",MVTO!$N$3:$N$72)</f>
        <v>0</v>
      </c>
      <c r="T19" s="17"/>
      <c r="U19" s="17">
        <f>SUMIF(MVTO!$C$3:$C$72,"Aluguel",MVTO!$O$3:$O$72)</f>
        <v>0</v>
      </c>
      <c r="V19" s="17"/>
      <c r="W19" s="17">
        <f>SUMIF(MVTO!$C$3:$C$72,"Aluguel",MVTO!$P$3:$P$72)</f>
        <v>0</v>
      </c>
      <c r="X19" s="17"/>
      <c r="Y19" s="17">
        <f>SUMIF(MVTO!$C$3:$C$72,"Aluguel",MVTO!$Q$3:$Q$72)</f>
        <v>0</v>
      </c>
      <c r="Z19" s="17"/>
      <c r="AA19" s="17">
        <f>SUMIF(MVTO!$C$3:$C$72,"Aluguel",MVTO!$R$3:$R$72)</f>
        <v>400072</v>
      </c>
      <c r="AB19" s="17"/>
    </row>
    <row r="20" spans="2:28" x14ac:dyDescent="0.25">
      <c r="B20" s="10" t="s">
        <v>82</v>
      </c>
      <c r="C20" s="17">
        <f>SUMIF(MVTO!$C$3:$C$72,"Tributário",MVTO!$F$3:$F$72)</f>
        <v>307.8</v>
      </c>
      <c r="D20" s="17"/>
      <c r="E20" s="17">
        <f>SUMIF(MVTO!$C$3:$C$72,"Tributário",MVTO!$G$3:$G$72)</f>
        <v>14959.05</v>
      </c>
      <c r="F20" s="17"/>
      <c r="G20" s="17">
        <f>SUMIF(MVTO!$C$3:$C$72,"Tributário",MVTO!$H$3:$H$72)</f>
        <v>8131.25</v>
      </c>
      <c r="H20" s="17"/>
      <c r="I20" s="17">
        <f>SUMIF(MVTO!$C$3:$C$72,"Tributário",MVTO!$I$3:$I$72)</f>
        <v>56.5</v>
      </c>
      <c r="J20" s="17"/>
      <c r="K20" s="17">
        <f>SUMIF(MVTO!$C$3:$C$72,"Tributário",MVTO!$J$3:$J$72)</f>
        <v>10741.77</v>
      </c>
      <c r="L20" s="17"/>
      <c r="M20" s="17">
        <f>SUMIF(MVTO!$C$3:$C$72,"Tributário",MVTO!$K$3:$K$72)</f>
        <v>11410.06</v>
      </c>
      <c r="N20" s="17"/>
      <c r="O20" s="17">
        <f>SUMIF(MVTO!$C$3:$C$72,"Tributário",MVTO!$L$3:$L$72)</f>
        <v>2666.7900000000004</v>
      </c>
      <c r="P20" s="17"/>
      <c r="Q20" s="17">
        <f>SUMIF(MVTO!$C$3:$C$72,"Tributário",MVTO!$M$3:$M$72)</f>
        <v>0</v>
      </c>
      <c r="R20" s="17"/>
      <c r="S20" s="17">
        <f>SUMIF(MVTO!$C$3:$C$72,"Tributário",MVTO!$N$3:$N$72)</f>
        <v>0</v>
      </c>
      <c r="T20" s="17"/>
      <c r="U20" s="17">
        <f>SUMIF(MVTO!$C$3:$C$72,"Tributário",MVTO!$O$3:$O$72)</f>
        <v>0</v>
      </c>
      <c r="V20" s="17"/>
      <c r="W20" s="17">
        <f>SUMIF(MVTO!$C$3:$C$72,"Tributário",MVTO!$P$3:$P$72)</f>
        <v>0</v>
      </c>
      <c r="X20" s="17"/>
      <c r="Y20" s="17">
        <f>SUMIF(MVTO!$C$3:$C$72,"Tributário",MVTO!$Q$3:$Q$72)</f>
        <v>0</v>
      </c>
      <c r="Z20" s="17"/>
      <c r="AA20" s="17">
        <f>SUMIF(MVTO!$C$3:$C$72,"Tributário",MVTO!$R$3:$R$72)</f>
        <v>48273.22</v>
      </c>
      <c r="AB20" s="17"/>
    </row>
    <row r="21" spans="2:28" x14ac:dyDescent="0.25">
      <c r="B21" s="10" t="s">
        <v>88</v>
      </c>
      <c r="C21" s="17">
        <f>SUMIF(MVTO!$C$3:$C$72,"Água",MVTO!$F$3:$F$72)</f>
        <v>900.1</v>
      </c>
      <c r="D21" s="17"/>
      <c r="E21" s="17">
        <f>SUMIF(MVTO!$C$3:$C$72,"Água",MVTO!$G$3:$G$72)</f>
        <v>1447.43</v>
      </c>
      <c r="F21" s="17"/>
      <c r="G21" s="17">
        <f>SUMIF(MVTO!$C$3:$C$72,"Água",MVTO!$H$3:$H$72)</f>
        <v>984.75</v>
      </c>
      <c r="H21" s="17"/>
      <c r="I21" s="17">
        <f>SUMIF(MVTO!$C$3:$C$72,"Água",MVTO!$I$3:$I$72)</f>
        <v>1022.8</v>
      </c>
      <c r="J21" s="17"/>
      <c r="K21" s="17">
        <f>SUMIF(MVTO!$C$3:$C$72,"Água",MVTO!$J$3:$J$72)</f>
        <v>767.55</v>
      </c>
      <c r="L21" s="17"/>
      <c r="M21" s="17">
        <f>SUMIF(MVTO!$C$3:$C$72,"Água",MVTO!$K$3:$K$72)</f>
        <v>1670.95</v>
      </c>
      <c r="N21" s="17"/>
      <c r="O21" s="17">
        <f>SUMIF(MVTO!$C$3:$C$72,"Água",MVTO!$L$3:$L$72)</f>
        <v>1314.24</v>
      </c>
      <c r="P21" s="17"/>
      <c r="Q21" s="17">
        <f>SUMIF(MVTO!$C$3:$C$72,"Água",MVTO!$M$3:$M$72)</f>
        <v>0</v>
      </c>
      <c r="R21" s="17"/>
      <c r="S21" s="17">
        <f>SUMIF(MVTO!$C$3:$C$72,"Água",MVTO!$N$3:$N$72)</f>
        <v>0</v>
      </c>
      <c r="T21" s="17"/>
      <c r="U21" s="17">
        <f>SUMIF(MVTO!$C$3:$C$72,"Água",MVTO!$O$3:$O$72)</f>
        <v>0</v>
      </c>
      <c r="V21" s="17"/>
      <c r="W21" s="17">
        <f>SUMIF(MVTO!$C$3:$C$72,"Água",MVTO!$P$3:$P$72)</f>
        <v>0</v>
      </c>
      <c r="X21" s="17"/>
      <c r="Y21" s="17">
        <f>SUMIF(MVTO!$C$3:$C$72,"Água",MVTO!$Q$3:$Q$72)</f>
        <v>0</v>
      </c>
      <c r="Z21" s="17"/>
      <c r="AA21" s="17">
        <f>SUMIF(MVTO!$C$3:$C$72,"Água",MVTO!$R$3:$R$72)</f>
        <v>8107.82</v>
      </c>
      <c r="AB21" s="17"/>
    </row>
    <row r="22" spans="2:28" x14ac:dyDescent="0.25">
      <c r="B22" s="10" t="s">
        <v>89</v>
      </c>
      <c r="C22" s="17">
        <f>SUMIF(MVTO!$C$3:$C$72,"Dep_Judicial",MVTO!$F$3:$F$72)</f>
        <v>0</v>
      </c>
      <c r="D22" s="17"/>
      <c r="E22" s="17">
        <f>SUMIF(MVTO!$C$3:$C$72,"Dep_Judicial",MVTO!$G$3:$G$72)</f>
        <v>0</v>
      </c>
      <c r="F22" s="17"/>
      <c r="G22" s="17">
        <f>SUMIF(MVTO!$C$3:$C$72,"Dep_Judicial",MVTO!$H$3:$H$72)</f>
        <v>0</v>
      </c>
      <c r="H22" s="17"/>
      <c r="I22" s="17">
        <f>SUMIF(MVTO!$C$3:$C$72,"Dep_Judicial",MVTO!$I$3:$I$72)</f>
        <v>0</v>
      </c>
      <c r="J22" s="17"/>
      <c r="K22" s="17">
        <f>SUMIF(MVTO!$C$3:$C$72,"Dep_Judicial",MVTO!$J$3:$J$72)</f>
        <v>0</v>
      </c>
      <c r="L22" s="17"/>
      <c r="M22" s="17">
        <f>SUMIF(MVTO!$C$3:$C$72,"Dep_Judicial",MVTO!$K$3:$K$72)</f>
        <v>0</v>
      </c>
      <c r="N22" s="17"/>
      <c r="O22" s="17">
        <f>SUMIF(MVTO!$C$3:$C$72,"Dep_Judicial",MVTO!$L$3:$L$72)</f>
        <v>0</v>
      </c>
      <c r="P22" s="17"/>
      <c r="Q22" s="17">
        <f>SUMIF(MVTO!$C$3:$C$72,"Dep_Judicial",MVTO!$M$3:$M$72)</f>
        <v>0</v>
      </c>
      <c r="R22" s="17"/>
      <c r="S22" s="17">
        <f>SUMIF(MVTO!$C$3:$C$72,"Dep_Judicial",MVTO!$N$3:$N$72)</f>
        <v>0</v>
      </c>
      <c r="T22" s="17"/>
      <c r="U22" s="17">
        <f>SUMIF(MVTO!$C$3:$C$72,"Dep_Judicial",MVTO!$O$3:$O$72)</f>
        <v>0</v>
      </c>
      <c r="V22" s="17"/>
      <c r="W22" s="17">
        <f>SUMIF(MVTO!$C$3:$C$72,"Dep_Judicial",MVTO!$P$3:$P$72)</f>
        <v>0</v>
      </c>
      <c r="X22" s="17"/>
      <c r="Y22" s="17">
        <f>SUMIF(MVTO!$C$3:$C$72,"Dep_Judicial",MVTO!$Q$3:$Q$72)</f>
        <v>0</v>
      </c>
      <c r="Z22" s="17"/>
      <c r="AA22" s="17">
        <f>SUMIF(MVTO!$C$3:$C$72,"Dep_Judicial",MVTO!$R$3:$R$72)</f>
        <v>0</v>
      </c>
      <c r="AB22" s="17"/>
    </row>
    <row r="23" spans="2:28" x14ac:dyDescent="0.25">
      <c r="B23" s="10" t="s">
        <v>110</v>
      </c>
      <c r="C23" s="17">
        <f>SUMIF(MVTO!$C$3:$C$72,"Desp_imovel",MVTO!$F$3:$F$72)</f>
        <v>287</v>
      </c>
      <c r="D23" s="17"/>
      <c r="E23" s="17">
        <f>SUMIF(MVTO!$C$3:$C$72,"Desp_imovel",MVTO!$G$3:$G$72)</f>
        <v>19769.07</v>
      </c>
      <c r="F23" s="17"/>
      <c r="G23" s="17">
        <f>SUMIF(MVTO!$C$3:$C$72,"Desp_imovel",MVTO!$H$3:$H$72)</f>
        <v>7392.08</v>
      </c>
      <c r="H23" s="17"/>
      <c r="I23" s="17">
        <f>SUMIF(MVTO!$C$3:$C$72,"Desp_imovel",MVTO!$I$3:$I$72)</f>
        <v>5965.69</v>
      </c>
      <c r="J23" s="17"/>
      <c r="K23" s="17">
        <f>SUMIF(MVTO!$C$3:$C$72,"Desp_imovel",MVTO!$J$3:$J$72)</f>
        <v>4352.8999999999996</v>
      </c>
      <c r="L23" s="17"/>
      <c r="M23" s="17">
        <f>SUMIF(MVTO!$C$3:$C$72,"Desp_imovel",MVTO!$K$3:$K$72)</f>
        <v>5805.62</v>
      </c>
      <c r="N23" s="17"/>
      <c r="O23" s="17">
        <f>SUMIF(MVTO!$C$3:$C$72,"Desp_imovel",MVTO!$L$3:$L$72)</f>
        <v>4192.6399999999994</v>
      </c>
      <c r="P23" s="17"/>
      <c r="Q23" s="17">
        <f>SUMIF(MVTO!$C$3:$C$72,"Desp_imovel",MVTO!$M$3:$M$72)</f>
        <v>0</v>
      </c>
      <c r="R23" s="17"/>
      <c r="S23" s="17">
        <f>SUMIF(MVTO!$C$3:$C$72,"Desp_imovel",MVTO!$N$3:$N$72)</f>
        <v>0</v>
      </c>
      <c r="T23" s="17"/>
      <c r="U23" s="17">
        <f>SUMIF(MVTO!$C$3:$C$72,"Desp_imovel",MVTO!$O$3:$O$72)</f>
        <v>0</v>
      </c>
      <c r="V23" s="17"/>
      <c r="W23" s="17">
        <f>SUMIF(MVTO!$C$3:$C$72,"Desp_imovel",MVTO!$P$3:$P$72)</f>
        <v>0</v>
      </c>
      <c r="X23" s="17"/>
      <c r="Y23" s="17">
        <f>SUMIF(MVTO!$C$3:$C$72,"Desp_imovel",MVTO!$Q$3:$Q$72)</f>
        <v>0</v>
      </c>
      <c r="Z23" s="17"/>
      <c r="AA23" s="17">
        <f>SUMIF(MVTO!$C$3:$C$72,"Desp_imovel",MVTO!$R$3:$R$72)</f>
        <v>47765</v>
      </c>
      <c r="AB23" s="17"/>
    </row>
    <row r="24" spans="2:28" x14ac:dyDescent="0.25">
      <c r="B24" s="10" t="s">
        <v>65</v>
      </c>
      <c r="C24" s="17">
        <f>SUMIF(MVTO!$C$3:$C$72,"Pessoal",MVTO!$F$3:$F$72)</f>
        <v>0</v>
      </c>
      <c r="D24" s="17"/>
      <c r="E24" s="17">
        <f>SUMIF(MVTO!$C$3:$C$72,"Pessoal",MVTO!$G$3:$G$72)</f>
        <v>0</v>
      </c>
      <c r="F24" s="17"/>
      <c r="G24" s="17">
        <f>SUMIF(MVTO!$C$3:$C$72,"Pessoal",MVTO!$H$3:$H$72)</f>
        <v>0</v>
      </c>
      <c r="H24" s="17"/>
      <c r="I24" s="17">
        <f>SUMIF(MVTO!$C$3:$C$72,"Pessoal",MVTO!$I$3:$I$72)</f>
        <v>0</v>
      </c>
      <c r="J24" s="17"/>
      <c r="K24" s="17">
        <f>SUMIF(MVTO!$C$3:$C$72,"Pessoal",MVTO!$J$3:$J$72)</f>
        <v>0</v>
      </c>
      <c r="L24" s="17"/>
      <c r="M24" s="17">
        <f>SUMIF(MVTO!$C$3:$C$72,"Pessoal",MVTO!$K$3:$K$72)</f>
        <v>0</v>
      </c>
      <c r="N24" s="17"/>
      <c r="O24" s="17">
        <f>SUMIF(MVTO!$C$3:$C$72,"Pessoal",MVTO!$L$3:$L$72)</f>
        <v>0</v>
      </c>
      <c r="P24" s="17"/>
      <c r="Q24" s="17">
        <f>SUMIF(MVTO!$C$3:$C$72,"Pessoal",MVTO!$M$3:$M$72)</f>
        <v>0</v>
      </c>
      <c r="R24" s="17"/>
      <c r="S24" s="17">
        <f>SUMIF(MVTO!$C$3:$C$72,"Pessoal",MVTO!$N$3:$N$72)</f>
        <v>0</v>
      </c>
      <c r="T24" s="17"/>
      <c r="U24" s="17">
        <f>SUMIF(MVTO!$C$3:$C$72,"Pessoal",MVTO!$O$3:$O$72)</f>
        <v>0</v>
      </c>
      <c r="V24" s="17"/>
      <c r="W24" s="17">
        <f>SUMIF(MVTO!$C$3:$C$72,"Pessoal",MVTO!$P$3:$P$72)</f>
        <v>0</v>
      </c>
      <c r="X24" s="17"/>
      <c r="Y24" s="17">
        <f>SUMIF(MVTO!$C$3:$C$72,"Pessoal",MVTO!$Q$3:$Q$72)</f>
        <v>0</v>
      </c>
      <c r="Z24" s="17"/>
      <c r="AA24" s="17">
        <f>SUMIF(MVTO!$C$3:$C$72,"Pessoal",MVTO!$R$3:$R$72)</f>
        <v>0</v>
      </c>
      <c r="AB24" s="17"/>
    </row>
    <row r="25" spans="2:28" x14ac:dyDescent="0.25">
      <c r="B25" s="12" t="s">
        <v>84</v>
      </c>
      <c r="C25" s="21">
        <f>C17-C18</f>
        <v>66923.420000000013</v>
      </c>
      <c r="D25" s="21"/>
      <c r="E25" s="21">
        <f>E17-E18</f>
        <v>1322742.5899999996</v>
      </c>
      <c r="F25" s="21"/>
      <c r="G25" s="21">
        <f t="shared" ref="G25" si="9">G17-G18</f>
        <v>633153.93000000005</v>
      </c>
      <c r="H25" s="21"/>
      <c r="I25" s="21">
        <f>I17-I18</f>
        <v>32621.58</v>
      </c>
      <c r="J25" s="21"/>
      <c r="K25" s="21">
        <f t="shared" ref="K25" si="10">K17-K18</f>
        <v>305619.77</v>
      </c>
      <c r="L25" s="21"/>
      <c r="M25" s="21">
        <f>M17-M18</f>
        <v>354535.18000000005</v>
      </c>
      <c r="N25" s="21"/>
      <c r="O25" s="21">
        <f>O17-O18</f>
        <v>348538.53</v>
      </c>
      <c r="P25" s="21"/>
      <c r="Q25" s="21">
        <f>Q17-Q18</f>
        <v>0</v>
      </c>
      <c r="R25" s="21"/>
      <c r="S25" s="21">
        <f t="shared" ref="S25" si="11">S17-S18</f>
        <v>0</v>
      </c>
      <c r="T25" s="21"/>
      <c r="U25" s="21">
        <f>U17-U18</f>
        <v>0</v>
      </c>
      <c r="V25" s="21"/>
      <c r="W25" s="21">
        <f t="shared" ref="W25" si="12">W17-W18</f>
        <v>0</v>
      </c>
      <c r="X25" s="21"/>
      <c r="Y25" s="21">
        <f t="shared" ref="Y25" si="13">Y17-Y18</f>
        <v>0</v>
      </c>
      <c r="Z25" s="21"/>
      <c r="AA25" s="21">
        <f>AA17-AA18</f>
        <v>3064267.53</v>
      </c>
      <c r="AB25" s="21"/>
    </row>
    <row r="26" spans="2:28" x14ac:dyDescent="0.25">
      <c r="B26" s="11" t="s">
        <v>85</v>
      </c>
      <c r="C26" s="17">
        <f>SUMIF(MVTO!$C$3:$C$72,"Rec_Fin",MVTO!$F$3:$F$72)-SUMIF(MVTO!$C$3:$C$72,"Desp_Fin",MVTO!$F$3:$F$72)</f>
        <v>-1591.56</v>
      </c>
      <c r="D26" s="17"/>
      <c r="E26" s="17">
        <f>SUMIF(MVTO!$C$3:$C$72,"Rec_Fin",MVTO!$G$3:$G$72)-SUMIF(MVTO!$C$3:$C$72,"Desp_Fin",MVTO!$G$3:$G$72)</f>
        <v>-14276.989999999998</v>
      </c>
      <c r="F26" s="17"/>
      <c r="G26" s="17">
        <f>SUMIF(MVTO!$C$3:$C$72,"Rec_Fin",MVTO!$H$3:$H$72)-SUMIF(MVTO!$C$3:$C$72,"Desp_Fin",MVTO!$H$3:$H$72)</f>
        <v>2353.2000000000007</v>
      </c>
      <c r="H26" s="17"/>
      <c r="I26" s="17">
        <f>SUMIF(MVTO!$C$3:$C$72,"Rec_Fin",MVTO!$I$3:$I$72)-SUMIF(MVTO!$C$3:$C$72,"Desp_Fin",MVTO!$I$3:$I$72)</f>
        <v>-2204.02</v>
      </c>
      <c r="J26" s="17"/>
      <c r="K26" s="17">
        <f>SUMIF(MVTO!$C$3:$C$72,"Rec_Fin",MVTO!$J$3:$J$72)-SUMIF(MVTO!$C$3:$C$72,"Desp_Fin",MVTO!$J$3:$J$72)</f>
        <v>731.82000000000016</v>
      </c>
      <c r="L26" s="17"/>
      <c r="M26" s="17">
        <f>SUMIF(MVTO!$C$3:$C$72,"Rec_Fin",MVTO!$K$3:$K$72)-SUMIF(MVTO!$C$3:$C$72,"Desp_Fin",MVTO!$K$3:$K$72)</f>
        <v>-1926</v>
      </c>
      <c r="N26" s="17"/>
      <c r="O26" s="17">
        <f>SUMIF(MVTO!$C$3:$C$72,"Rec_Fin",MVTO!$L$3:$L$72)-SUMIF(MVTO!$C$3:$C$72,"Desp_Fin",MVTO!$L$3:$L$72)</f>
        <v>-25.330000000000041</v>
      </c>
      <c r="P26" s="17"/>
      <c r="Q26" s="17">
        <f>SUMIF(MVTO!$C$3:$C$72,"Rec_Fin",MVTO!$M$3:$M$72)-SUMIF(MVTO!$C$3:$C$72,"Desp_Fin",MVTO!$M$3:$M$72)</f>
        <v>0</v>
      </c>
      <c r="R26" s="17"/>
      <c r="S26" s="17">
        <f>SUMIF(MVTO!$C$3:$C$72,"Rec_Fin",MVTO!$N$3:$N$72)-SUMIF(MVTO!$C$3:$C$72,"Desp_Fin",MVTO!$N$3:$N$72)</f>
        <v>0</v>
      </c>
      <c r="T26" s="17"/>
      <c r="U26" s="17">
        <f>SUMIF(MVTO!$C$3:$C$72,"Rec_Fin",MVTO!$O$3:$NO$72)-SUMIF(MVTO!$C$3:$C$72,"Desp_Fin",MVTO!$O$3:$O$72)</f>
        <v>0</v>
      </c>
      <c r="V26" s="17"/>
      <c r="W26" s="17">
        <f>SUMIF(MVTO!$C$3:$C$72,"Rec_Fin",MVTO!$P$3:$NP$72)-SUMIF(MVTO!$C$3:$C$72,"Desp_Fin",MVTO!$P$3:$P$72)</f>
        <v>0</v>
      </c>
      <c r="X26" s="17"/>
      <c r="Y26" s="17">
        <f>SUMIF(MVTO!$C$3:$C$72,"Rec_Fin",MVTO!$Q$3:$NQ$72)-SUMIF(MVTO!$C$3:$C$72,"Desp_Fin",MVTO!$Q$3:QP$72)</f>
        <v>0</v>
      </c>
      <c r="Z26" s="17"/>
      <c r="AA26" s="17">
        <f>SUMIF(MVTO!$C$3:$C$72,"Rec_Fin",MVTO!$R$3:$R$72)-SUMIF(MVTO!$C$3:$C$72,"Desp_Fin",MVTO!$R$3:$R$72)</f>
        <v>-169.84000000000015</v>
      </c>
      <c r="AB26" s="17"/>
    </row>
    <row r="27" spans="2:28" x14ac:dyDescent="0.25">
      <c r="B27" s="5" t="s">
        <v>86</v>
      </c>
      <c r="C27" s="17">
        <f>SUMIF(MVTO!$C$3:$C$72,"Imp_IR",MVTO!$F$3:$F$72)</f>
        <v>56026.96</v>
      </c>
      <c r="D27" s="17"/>
      <c r="E27" s="17">
        <f>SUMIF(MVTO!$C$3:$C$72,"Imp_IR",MVTO!$G$3:$G$72)</f>
        <v>56026.96</v>
      </c>
      <c r="F27" s="17"/>
      <c r="G27" s="17">
        <f>SUMIF(MVTO!$C$3:$C$72,"Imp_IR",MVTO!$H$3:$H$72)</f>
        <v>56026.96</v>
      </c>
      <c r="H27" s="17"/>
      <c r="I27" s="17">
        <f>SUMIF(MVTO!$C$3:$C$72,"Imp_IR",MVTO!$I$3:$I$72)</f>
        <v>51706.17</v>
      </c>
      <c r="J27" s="17"/>
      <c r="K27" s="17">
        <f>SUMIF(MVTO!$C$3:$C$72,"Imp_IR",MVTO!$J$3:$J$72)</f>
        <v>51706.17</v>
      </c>
      <c r="L27" s="17"/>
      <c r="M27" s="17">
        <f>SUMIF(MVTO!$C$3:$C$72,"Imp_IR",MVTO!$K$3:$K$72)</f>
        <v>51706.17</v>
      </c>
      <c r="N27" s="17"/>
      <c r="O27" s="17">
        <f>SUMIF(MVTO!$C$3:$C$72,"Imp_IR",MVTO!$L$3:$L$72)</f>
        <v>52473.69</v>
      </c>
      <c r="P27" s="17"/>
      <c r="Q27" s="17">
        <f>SUMIF(MVTO!$C$3:$C$72,"Imp_IR",MVTO!$M$3:$M$72)</f>
        <v>0</v>
      </c>
      <c r="R27" s="17"/>
      <c r="S27" s="17">
        <f>SUMIF(MVTO!$C$3:$C$72,"Imp_IR",MVTO!$N$3:$N$72)</f>
        <v>0</v>
      </c>
      <c r="T27" s="17"/>
      <c r="U27" s="17">
        <f>SUMIF(MVTO!$C$3:$C$72,"Imp_IR",MVTO!$O$3:$O$72)</f>
        <v>0</v>
      </c>
      <c r="V27" s="17"/>
      <c r="W27" s="17">
        <f>SUMIF(MVTO!$C$3:$C$72,"Imp_IR",MVTO!$P$3:$P$72)</f>
        <v>0</v>
      </c>
      <c r="X27" s="17"/>
      <c r="Y27" s="17">
        <f>SUMIF(MVTO!$C$3:$C$72,"Imp_IR",MVTO!$Q$3:$Q$72)</f>
        <v>0</v>
      </c>
      <c r="Z27" s="17"/>
      <c r="AA27" s="17">
        <f>SUMIF(MVTO!$C$3:$C$72,"Imp_IR",MVTO!$R$3:$R$72)</f>
        <v>375673.07999999996</v>
      </c>
      <c r="AB27" s="17"/>
    </row>
    <row r="28" spans="2:28" x14ac:dyDescent="0.25">
      <c r="B28" s="78" t="s">
        <v>87</v>
      </c>
      <c r="C28" s="80">
        <f>C25+C26-C27</f>
        <v>9304.900000000016</v>
      </c>
      <c r="D28" s="77"/>
      <c r="E28" s="77">
        <f t="shared" ref="E28" si="14">E25+E26-E27</f>
        <v>1252438.6399999997</v>
      </c>
      <c r="F28" s="77"/>
      <c r="G28" s="77">
        <f t="shared" ref="G28" si="15">G25+G26-G27</f>
        <v>579480.17000000004</v>
      </c>
      <c r="H28" s="77"/>
      <c r="I28" s="77">
        <f>I25+I26-I27</f>
        <v>-21288.609999999997</v>
      </c>
      <c r="J28" s="77"/>
      <c r="K28" s="77">
        <f>K25+K26-K27</f>
        <v>254645.42000000004</v>
      </c>
      <c r="L28" s="77"/>
      <c r="M28" s="77">
        <f>M25+M26-M27</f>
        <v>300903.01000000007</v>
      </c>
      <c r="N28" s="77"/>
      <c r="O28" s="77">
        <f>O25+O26-O27</f>
        <v>296039.51</v>
      </c>
      <c r="P28" s="79"/>
      <c r="Q28" s="79">
        <f>Q25+Q26-Q27</f>
        <v>0</v>
      </c>
      <c r="R28" s="79"/>
      <c r="S28" s="79">
        <f>S25+S26-S27</f>
        <v>0</v>
      </c>
      <c r="T28" s="79"/>
      <c r="U28" s="79">
        <f>U25+U26-U27</f>
        <v>0</v>
      </c>
      <c r="V28" s="79"/>
      <c r="W28" s="79">
        <f t="shared" ref="W28" si="16">W25+W26-W27</f>
        <v>0</v>
      </c>
      <c r="X28" s="79"/>
      <c r="Y28" s="79">
        <f t="shared" ref="Y28" si="17">Y25+Y26-Y27</f>
        <v>0</v>
      </c>
      <c r="Z28" s="79"/>
      <c r="AA28" s="79">
        <f t="shared" ref="AA28" si="18">AA25+AA26-AA27</f>
        <v>2688424.61</v>
      </c>
      <c r="AB28" s="79"/>
    </row>
    <row r="29" spans="2:28" x14ac:dyDescent="0.25">
      <c r="B29" s="14" t="s">
        <v>160</v>
      </c>
      <c r="C29" s="18">
        <f>SUMIF(MVTO!$C$3:$C$72,"Empréstimo",MVTO!$F$3:$F$72)</f>
        <v>36969.979999999996</v>
      </c>
      <c r="D29" s="18"/>
      <c r="E29" s="18">
        <f>SUMIF(MVTO!$C$3:$C$72,"Empréstimo",MVTO!$G$3:$G$72)</f>
        <v>36969.979999999996</v>
      </c>
      <c r="F29" s="18"/>
      <c r="G29" s="18">
        <f>SUMIF(MVTO!$C$3:$C$72,"Empréstimo",MVTO!$H$3:$H$72)</f>
        <v>36969.979999999996</v>
      </c>
      <c r="H29" s="18"/>
      <c r="I29" s="18">
        <f>SUMIF(MVTO!$C$3:$C$72,"Empréstimo",MVTO!$I$3:$I$72)</f>
        <v>36969.979999999996</v>
      </c>
      <c r="J29" s="18"/>
      <c r="K29" s="18">
        <f>SUMIF(MVTO!$C$3:$C$72,"Empréstimo",MVTO!$J$3:$J$72)</f>
        <v>36969.979999999996</v>
      </c>
      <c r="L29" s="18"/>
      <c r="M29" s="18">
        <f>SUMIF(MVTO!$C$3:$C$72,"Empréstimo",MVTO!$K$3:$K$72)</f>
        <v>36969.979999999996</v>
      </c>
      <c r="N29" s="18"/>
      <c r="O29" s="18">
        <f>SUMIF(MVTO!$C$3:$C$72,"Empréstimo",MVTO!$L$3:$L$72)</f>
        <v>36969.979999999996</v>
      </c>
      <c r="P29" s="18"/>
      <c r="Q29" s="18">
        <f>SUMIF(MVTO!$C$3:$C$72,"Empréstimo",MVTO!$M$3:$M$72)</f>
        <v>0</v>
      </c>
      <c r="R29" s="18"/>
      <c r="S29" s="18">
        <f>SUMIF(MVTO!$C$3:$C$72,"Empréstimo",MVTO!$N$3:$N$72)</f>
        <v>0</v>
      </c>
      <c r="T29" s="18"/>
      <c r="U29" s="18">
        <f>SUMIF(MVTO!$C$3:$C$72,"Empréstimo",MVTO!$O$3:$O$72)</f>
        <v>0</v>
      </c>
      <c r="V29" s="18"/>
      <c r="W29" s="18">
        <f>SUMIF(MVTO!$C$3:$C$72,"Empréstimo",MVTO!$P$3:$P$72)</f>
        <v>0</v>
      </c>
      <c r="X29" s="18"/>
      <c r="Y29" s="18">
        <f>SUMIF(MVTO!$C$3:$C$72,"Empréstimo",MVTO!$Q$3:$Q$72)</f>
        <v>0</v>
      </c>
      <c r="Z29" s="18"/>
      <c r="AA29" s="18">
        <f>SUMIF(MVTO!$C$3:$C$72,"Empréstimo",MVTO!$R$3:$R$72)</f>
        <v>258789.86000000002</v>
      </c>
      <c r="AB29" s="18"/>
    </row>
    <row r="30" spans="2:28" x14ac:dyDescent="0.25">
      <c r="B30" s="13" t="s">
        <v>90</v>
      </c>
      <c r="C30" s="18">
        <f>SUMIF(MVTO!$C$3:$C$72,"Ligadas_S",MVTO!$F$3:$F$72)</f>
        <v>0</v>
      </c>
      <c r="D30" s="18"/>
      <c r="E30" s="18">
        <f>SUMIF(MVTO!$C$3:$C$72,"Ligadas_S",MVTO!$G$3:$G$72)</f>
        <v>0</v>
      </c>
      <c r="F30" s="18"/>
      <c r="G30" s="18">
        <f>SUMIF(MVTO!$C$3:$C$72,"Ligadas_S",MVTO!$H$3:$H$72)</f>
        <v>0</v>
      </c>
      <c r="H30" s="18"/>
      <c r="I30" s="18">
        <f>SUMIF(MVTO!$C$3:$C$72,"Ligadas_S",MVTO!$I$3:$I$72)</f>
        <v>64958</v>
      </c>
      <c r="J30" s="18"/>
      <c r="K30" s="18">
        <f>SUMIF(MVTO!$C$3:$C$72,"Ligadas_S",MVTO!$J$3:$J$72)</f>
        <v>1718.36</v>
      </c>
      <c r="L30" s="18"/>
      <c r="M30" s="18">
        <f>SUMIF(MVTO!$C$3:$C$72,"Ligadas_S",MVTO!$K$3:$K$72)</f>
        <v>2949.85</v>
      </c>
      <c r="N30" s="18"/>
      <c r="O30" s="18">
        <f>SUMIF(MVTO!$C$3:$C$72,"Ligadas_S",MVTO!$L$3:$L$72)</f>
        <v>8538.7999999999993</v>
      </c>
      <c r="P30" s="18"/>
      <c r="Q30" s="18">
        <f>SUMIF(MVTO!$C$3:$C$72,"Ligadas_S",MVTO!$M$3:$M$72)</f>
        <v>0</v>
      </c>
      <c r="R30" s="18"/>
      <c r="S30" s="18">
        <f>SUMIF(MVTO!$C$3:$C$72,"Ligadas_S",MVTO!$N$3:$N$72)</f>
        <v>0</v>
      </c>
      <c r="T30" s="18"/>
      <c r="U30" s="18">
        <f>SUMIF(MVTO!$C$3:$C$72,"Ligadas_S",MVTO!$O$3:$O$72)</f>
        <v>0</v>
      </c>
      <c r="V30" s="18"/>
      <c r="W30" s="18">
        <f>SUMIF(MVTO!$C$3:$C$72,"Ligadas_S",MVTO!$P$3:$P$72)</f>
        <v>0</v>
      </c>
      <c r="X30" s="18"/>
      <c r="Y30" s="18">
        <f>SUMIF(MVTO!$C$3:$C$72,"Ligadas_S",MVTO!$Q$3:$Q$72)</f>
        <v>0</v>
      </c>
      <c r="Z30" s="18"/>
      <c r="AA30" s="18">
        <f>SUMIF(MVTO!$C$3:$C$72,"Ligadas_S",MVTO!$R$3:$R$72)</f>
        <v>78165.010000000009</v>
      </c>
      <c r="AB30" s="18"/>
    </row>
    <row r="31" spans="2:28" x14ac:dyDescent="0.25">
      <c r="B31" s="13" t="s">
        <v>109</v>
      </c>
      <c r="C31" s="18">
        <f>SUMIF(MVTO!$C$3:$C$72,"Imobilizado",MVTO!$F$3:$F$72)</f>
        <v>0</v>
      </c>
      <c r="D31" s="18"/>
      <c r="E31" s="18">
        <f>SUMIF(MVTO!$C$3:$C$72,"Imobilizado",MVTO!$G$3:$G$72)</f>
        <v>738529.3</v>
      </c>
      <c r="F31" s="18"/>
      <c r="G31" s="18">
        <f>SUMIF(MVTO!$C$3:$C$72,"Imobilizado",MVTO!$H$3:$H$72)</f>
        <v>71960.509999999995</v>
      </c>
      <c r="H31" s="18"/>
      <c r="I31" s="18">
        <f>SUMIF(MVTO!$C$3:$C$72,"Imobilizado",MVTO!$I$3:$I$72)</f>
        <v>89270.36</v>
      </c>
      <c r="J31" s="18"/>
      <c r="K31" s="18">
        <f>SUMIF(MVTO!$C$3:$C$72,"Imobilizado",MVTO!$J$3:$J$72)</f>
        <v>170256.26</v>
      </c>
      <c r="L31" s="18"/>
      <c r="M31" s="18">
        <f>SUMIF(MVTO!$C$3:$C$72,"Imobilizado",MVTO!$K$3:$K$72)</f>
        <v>103527.88</v>
      </c>
      <c r="N31" s="18"/>
      <c r="O31" s="18">
        <f>SUMIF(MVTO!$C$3:$C$72,"Imobilizado",MVTO!$L$3:$L$72)</f>
        <v>86668.64</v>
      </c>
      <c r="P31" s="18"/>
      <c r="Q31" s="18">
        <f>SUMIF(MVTO!$C$3:$C$72,"Imobilizado",MVTO!$M$3:$M$72)</f>
        <v>0</v>
      </c>
      <c r="R31" s="18"/>
      <c r="S31" s="18">
        <f>SUMIF(MVTO!$C$3:$C$72,"Imobilizado",MVTO!$N$3:$N$72)</f>
        <v>0</v>
      </c>
      <c r="T31" s="18"/>
      <c r="U31" s="18">
        <f>SUMIF(MVTO!$C$3:$C$72,"Imobilizado",MVTO!$O$3:$O$72)</f>
        <v>0</v>
      </c>
      <c r="V31" s="18"/>
      <c r="W31" s="18">
        <f>SUMIF(MVTO!$C$3:$C$72,"Imobilizado",MVTO!$P$3:$P$72)</f>
        <v>0</v>
      </c>
      <c r="X31" s="18"/>
      <c r="Y31" s="18">
        <f>SUMIF(MVTO!$C$3:$C$72,"Imobilizado",MVTO!$Q$3:$Q$72)</f>
        <v>0</v>
      </c>
      <c r="Z31" s="18"/>
      <c r="AA31" s="18">
        <f>SUMIF(MVTO!$C$3:$C$72,"Imobilizado",MVTO!$R$3:$R$72)</f>
        <v>1260212.95</v>
      </c>
      <c r="AB31" s="18"/>
    </row>
    <row r="32" spans="2:28" x14ac:dyDescent="0.25">
      <c r="B32" s="13" t="s">
        <v>162</v>
      </c>
      <c r="C32" s="18">
        <f>SUMIF(MVTO!$C$3:$C$72,"Ligadas_E",MVTO!$F$3:$F$72)+ SUMIF(MVTO!$C$3:$C$72,"Recursos_E",MVTO!$F$3:$F$72)</f>
        <v>0</v>
      </c>
      <c r="D32" s="18"/>
      <c r="E32" s="18">
        <f>SUMIF(MVTO!$C$3:$C$72,"Ligadas_E",MVTO!$G$3:$G$72)+ SUMIF(MVTO!$C$3:$C$72,"Recursos_E",MVTO!$G$3:$G$72)</f>
        <v>0</v>
      </c>
      <c r="F32" s="18"/>
      <c r="G32" s="18">
        <f>SUMIF(MVTO!$C$3:$C$72,"Ligadas_E",MVTO!$H$3:$H$72)+ SUMIF(MVTO!$C$3:$C$72,"Recursos_E",MVTO!$H$3:$H$72)</f>
        <v>0</v>
      </c>
      <c r="H32" s="18"/>
      <c r="I32" s="18">
        <f>SUMIF(MVTO!$C$3:$C$72,"Ligadas_E",MVTO!$I$3:$I$72)+ SUMIF(MVTO!$C$3:$C$72,"Recursos_E",MVTO!$I$3:$I$72)</f>
        <v>0</v>
      </c>
      <c r="J32" s="18"/>
      <c r="K32" s="18">
        <f>SUMIF(MVTO!$C$3:$C$72,"Ligadas_E",MVTO!$J$3:$J$72)+ SUMIF(MVTO!$C$3:$C$72,"Recursos_E",MVTO!$J$3:$J$72)</f>
        <v>33958</v>
      </c>
      <c r="L32" s="18"/>
      <c r="M32" s="18">
        <f>SUMIF(MVTO!$C$3:$C$72,"Ligadas_E",MVTO!$K$3:$K$72)+ SUMIF(MVTO!$C$3:$C$72,"Recursos_E",MVTO!$K$3:$K$72)</f>
        <v>13456.21</v>
      </c>
      <c r="N32" s="18"/>
      <c r="O32" s="18">
        <f>SUMIF(MVTO!$C$3:$C$72,"Ligadas_E",MVTO!$L$3:$L$72)+ SUMIF(MVTO!$C$3:$C$72,"Recursos_E",MVTO!$L$3:$L$72)</f>
        <v>0</v>
      </c>
      <c r="P32" s="18"/>
      <c r="Q32" s="18">
        <f>SUMIF(MVTO!$C$3:$C$72,"Ligadas_E",MVTO!$M$3:$M$72)+ SUMIF(MVTO!$C$3:$C$72,"Recursos_E",MVTO!$M$3:$M$72)</f>
        <v>0</v>
      </c>
      <c r="R32" s="18"/>
      <c r="S32" s="18">
        <f>SUMIF(MVTO!$C$3:$C$72,"Ligadas_E",MVTO!$N$3:$N$72)+ SUMIF(MVTO!$C$3:$C$72,"Recursos_E",MVTO!$N$3:$N$72)</f>
        <v>0</v>
      </c>
      <c r="T32" s="18"/>
      <c r="U32" s="18">
        <f>SUMIF(MVTO!$C$3:$C$72,"Ligadas_E",MVTO!$O$3:$O$72)+ SUMIF(MVTO!$C$3:$C$72,"Recursos_E",MVTO!$O$3:$O$72)</f>
        <v>0</v>
      </c>
      <c r="V32" s="18"/>
      <c r="W32" s="18">
        <f>SUMIF(MVTO!$C$3:$C$72,"Ligadas_E",MVTO!$P$3:$P$72)+ SUMIF(MVTO!$C$3:$C$72,"Recursos_E",MVTO!$P$3:$P$72)</f>
        <v>0</v>
      </c>
      <c r="X32" s="18"/>
      <c r="Y32" s="18">
        <f>SUMIF(MVTO!$C$3:$C$72,"Ligadas_E",MVTO!$Q$3:$Q$72)+ SUMIF(MVTO!$C$3:$C$72,"Recursos_E",MVTO!$Q$3:$Q$72)</f>
        <v>0</v>
      </c>
      <c r="Z32" s="18"/>
      <c r="AA32" s="18">
        <f>SUMIF(MVTO!$C$3:$C$72,"Ligadas_E",MVTO!$R$3:$R$72)+ SUMIF(MVTO!$C$3:$C$72,"Recursos_E",MVTO!$R$3:$R$72)</f>
        <v>0</v>
      </c>
      <c r="AB32" s="18"/>
    </row>
    <row r="33" spans="2:28" x14ac:dyDescent="0.25">
      <c r="B33" s="12" t="s">
        <v>95</v>
      </c>
      <c r="C33" s="21">
        <f>C28-C29-C30-C31+C32</f>
        <v>-27665.07999999998</v>
      </c>
      <c r="D33" s="21"/>
      <c r="E33" s="21">
        <f>E28-E29-E30-E31+E32</f>
        <v>476939.35999999964</v>
      </c>
      <c r="F33" s="21"/>
      <c r="G33" s="21">
        <f>G28-G29-G30-G31+G32</f>
        <v>470549.68000000005</v>
      </c>
      <c r="H33" s="21"/>
      <c r="I33" s="21">
        <f>I28-I29-I30-I31+I32</f>
        <v>-212486.95</v>
      </c>
      <c r="J33" s="21"/>
      <c r="K33" s="21">
        <f>K28-K29-K30-K31+K32</f>
        <v>79658.820000000065</v>
      </c>
      <c r="L33" s="21"/>
      <c r="M33" s="21">
        <f>M28-M29-M30-M31+M32</f>
        <v>170911.51000000007</v>
      </c>
      <c r="N33" s="21"/>
      <c r="O33" s="21">
        <f>O28-O29-O30-O31+O32</f>
        <v>163862.09000000003</v>
      </c>
      <c r="P33" s="21"/>
      <c r="Q33" s="21">
        <f>Q28-Q29-Q30-Q31+Q32</f>
        <v>0</v>
      </c>
      <c r="R33" s="21"/>
      <c r="S33" s="21">
        <f>S28-S29-S30-S31+S32</f>
        <v>0</v>
      </c>
      <c r="T33" s="21"/>
      <c r="U33" s="21">
        <f>U28-U29-U30+U32-U31</f>
        <v>0</v>
      </c>
      <c r="V33" s="21"/>
      <c r="W33" s="21">
        <f>W28-W29-W30+W32-W31</f>
        <v>0</v>
      </c>
      <c r="X33" s="21"/>
      <c r="Y33" s="21">
        <f>Y28-Y29-Y30+Y32</f>
        <v>0</v>
      </c>
      <c r="Z33" s="21"/>
      <c r="AA33" s="21">
        <f>AA28-AA29-AA30-AA31+AA32</f>
        <v>1091256.7900000003</v>
      </c>
      <c r="AB33" s="21"/>
    </row>
    <row r="34" spans="2:28" x14ac:dyDescent="0.25">
      <c r="B34" s="15" t="s">
        <v>91</v>
      </c>
      <c r="C34" s="27">
        <f>SUM(C35:C38)</f>
        <v>154723.57</v>
      </c>
      <c r="D34" s="27"/>
      <c r="E34" s="27">
        <f t="shared" ref="E34" si="19">SUM(E35:E38)</f>
        <v>144347.06</v>
      </c>
      <c r="F34" s="27"/>
      <c r="G34" s="27">
        <f t="shared" ref="G34" si="20">SUM(G35:G38)</f>
        <v>153061.82</v>
      </c>
      <c r="H34" s="27"/>
      <c r="I34" s="27">
        <f>SUM(I35:I38)</f>
        <v>210317.77000000002</v>
      </c>
      <c r="J34" s="27"/>
      <c r="K34" s="27">
        <f t="shared" ref="K34" si="21">SUM(K35:K38)</f>
        <v>188092.62999999998</v>
      </c>
      <c r="L34" s="27"/>
      <c r="M34" s="27">
        <f>SUM(M35:M38)</f>
        <v>240937.51</v>
      </c>
      <c r="N34" s="27"/>
      <c r="O34" s="27">
        <f>SUM(O35:O38)</f>
        <v>249673.46999999997</v>
      </c>
      <c r="P34" s="27"/>
      <c r="Q34" s="27">
        <f t="shared" ref="Q34" si="22">SUM(Q35:Q38)</f>
        <v>0</v>
      </c>
      <c r="R34" s="27"/>
      <c r="S34" s="27">
        <f>SUM(S35:S38)</f>
        <v>0</v>
      </c>
      <c r="T34" s="27"/>
      <c r="U34" s="27">
        <f>SUM(U35:U38)</f>
        <v>0</v>
      </c>
      <c r="V34" s="27"/>
      <c r="W34" s="27">
        <f t="shared" ref="W34:Y34" si="23">SUM(W35:W38)</f>
        <v>0</v>
      </c>
      <c r="X34" s="27"/>
      <c r="Y34" s="27">
        <f t="shared" si="23"/>
        <v>0</v>
      </c>
      <c r="Z34" s="27"/>
      <c r="AA34" s="27">
        <f t="shared" ref="AA34" si="24">SUM(AA35:AA38)</f>
        <v>1341153.8299999998</v>
      </c>
      <c r="AB34" s="27"/>
    </row>
    <row r="35" spans="2:28" x14ac:dyDescent="0.25">
      <c r="B35" s="10" t="s">
        <v>31</v>
      </c>
      <c r="C35" s="17">
        <f>SUMIF(MVTO!$C$3:$C$72,"Sócio_Diego",MVTO!$F$3:$F$72)</f>
        <v>27593.81</v>
      </c>
      <c r="D35" s="17"/>
      <c r="E35" s="17">
        <f>SUMIF(MVTO!$C$3:$C$72,"Sócio_Diego",MVTO!$G$3:$G$72)</f>
        <v>32612.75</v>
      </c>
      <c r="F35" s="17"/>
      <c r="G35" s="17">
        <f>SUMIF(MVTO!$C$3:$C$72,"Sócio_Diego",MVTO!$H$3:$H$72)</f>
        <v>32502.67</v>
      </c>
      <c r="H35" s="17"/>
      <c r="I35" s="17">
        <f>SUMIF(MVTO!$C$3:$C$72,"Sócio_Diego",MVTO!$I$3:$I$72)</f>
        <v>38690.86</v>
      </c>
      <c r="J35" s="17"/>
      <c r="K35" s="17">
        <f>SUMIF(MVTO!$C$3:$C$72,"Sócio_Diego",MVTO!$J$3:$J$72)</f>
        <v>45261.759999999995</v>
      </c>
      <c r="L35" s="17"/>
      <c r="M35" s="17">
        <f>SUMIF(MVTO!$C$3:$C$72,"Sócio_Diego",MVTO!$K$3:$K$72)</f>
        <v>48231.95</v>
      </c>
      <c r="N35" s="17"/>
      <c r="O35" s="17">
        <f>SUMIF(MVTO!$C$3:$C$72,"Sócio_Diego",MVTO!$L$3:$L$72)</f>
        <v>34675.74</v>
      </c>
      <c r="P35" s="17"/>
      <c r="Q35" s="17">
        <f>SUMIF(MVTO!$C$3:$C$72,"Sócio_Diego",MVTO!$M$3:$M$72)</f>
        <v>0</v>
      </c>
      <c r="R35" s="17"/>
      <c r="S35" s="17">
        <f>SUMIF(MVTO!$C$3:$C$72,"Sócio_Diego",MVTO!$N$3:$N$72)</f>
        <v>0</v>
      </c>
      <c r="T35" s="17"/>
      <c r="U35" s="17">
        <f>SUMIF(MVTO!$C$3:$C$72,"Sócio_Diego",MVTO!$O$3:$O$72)</f>
        <v>0</v>
      </c>
      <c r="V35" s="17"/>
      <c r="W35" s="17">
        <f>SUMIF(MVTO!$C$3:$C$72,"Sócio_Diego",MVTO!$P$3:$P$72)</f>
        <v>0</v>
      </c>
      <c r="X35" s="17"/>
      <c r="Y35" s="17">
        <f>SUMIF(MVTO!$C$3:$C$72,"Sócio_Diego",MVTO!$Q$3:$Q$72)</f>
        <v>0</v>
      </c>
      <c r="Z35" s="17"/>
      <c r="AA35" s="17">
        <f>SUMIF(MVTO!$C$3:$C$72,"Sócio_Diego",MVTO!$R$3:$R$72)</f>
        <v>259569.53999999998</v>
      </c>
      <c r="AB35" s="17"/>
    </row>
    <row r="36" spans="2:28" x14ac:dyDescent="0.25">
      <c r="B36" s="10" t="s">
        <v>32</v>
      </c>
      <c r="C36" s="17">
        <f>SUMIF(MVTO!$C$3:$C$72,"Sócio_Thiago",MVTO!$F$3:$F$72)</f>
        <v>46201.36</v>
      </c>
      <c r="D36" s="17"/>
      <c r="E36" s="17">
        <f>SUMIF(MVTO!$C$3:$C$72,"Sócio_Thiago",MVTO!$G$3:$G$72)</f>
        <v>31008.67</v>
      </c>
      <c r="F36" s="17"/>
      <c r="G36" s="17">
        <f>SUMIF(MVTO!$C$3:$C$72,"Sócio_Thiago",MVTO!$H$3:$H$72)</f>
        <v>36008.639999999999</v>
      </c>
      <c r="H36" s="17"/>
      <c r="I36" s="17">
        <f>SUMIF(MVTO!$C$3:$C$72,"Sócio_Thiago",MVTO!$I$3:$I$72)</f>
        <v>41008.639999999999</v>
      </c>
      <c r="J36" s="17"/>
      <c r="K36" s="17">
        <f>SUMIF(MVTO!$C$3:$C$72,"Sócio_Thiago",MVTO!$J$3:$J$72)</f>
        <v>46295.6</v>
      </c>
      <c r="L36" s="17"/>
      <c r="M36" s="17">
        <f>SUMIF(MVTO!$C$3:$C$72,"Sócio_Thiago",MVTO!$K$3:$K$72)</f>
        <v>92249.19</v>
      </c>
      <c r="N36" s="17"/>
      <c r="O36" s="17">
        <f>SUMIF(MVTO!$C$3:$C$72,"Sócio_Thiago",MVTO!$L$3:$L$72)</f>
        <v>64470.93</v>
      </c>
      <c r="P36" s="17"/>
      <c r="Q36" s="17">
        <f>SUMIF(MVTO!$C$3:$C$72,"Sócio_Thiago",MVTO!$M$3:$M$72)</f>
        <v>0</v>
      </c>
      <c r="R36" s="17"/>
      <c r="S36" s="17">
        <f>SUMIF(MVTO!$C$3:$C$72,"Sócio_Thiago",MVTO!$N$3:$N$72)</f>
        <v>0</v>
      </c>
      <c r="T36" s="17"/>
      <c r="U36" s="17">
        <f>SUMIF(MVTO!$C$3:$C$72,"Sócio_Thiago",MVTO!$O$3:$O$72)</f>
        <v>0</v>
      </c>
      <c r="V36" s="17"/>
      <c r="W36" s="17">
        <f>SUMIF(MVTO!$C$3:$C$72,"Sócio_Thiago",MVTO!$P$3:$P$72)</f>
        <v>0</v>
      </c>
      <c r="X36" s="17"/>
      <c r="Y36" s="17">
        <f>SUMIF(MVTO!$C$3:$C$72,"Sócio_Thiago",MVTO!$Q$3:$Q$72)</f>
        <v>0</v>
      </c>
      <c r="Z36" s="17"/>
      <c r="AA36" s="17">
        <f>SUMIF(MVTO!$C$3:$C$72,"Sócio_Thiago",MVTO!$R$3:$R$72)</f>
        <v>357243.02999999997</v>
      </c>
      <c r="AB36" s="17"/>
    </row>
    <row r="37" spans="2:28" x14ac:dyDescent="0.25">
      <c r="B37" s="10" t="s">
        <v>52</v>
      </c>
      <c r="C37" s="17">
        <f>SUMIF(MVTO!$C$3:$C$72,"Sócio_Pátricia",MVTO!$F$3:$F$72)</f>
        <v>42328.4</v>
      </c>
      <c r="D37" s="17"/>
      <c r="E37" s="17">
        <f>SUMIF(MVTO!$C$3:$C$72,"Sócio_Pátricia",MVTO!$G$3:$G$72)</f>
        <v>32152.639999999999</v>
      </c>
      <c r="F37" s="17"/>
      <c r="G37" s="17">
        <f>SUMIF(MVTO!$C$3:$C$72,"Sócio_Pátricia",MVTO!$H$3:$H$72)</f>
        <v>31008.67</v>
      </c>
      <c r="H37" s="17"/>
      <c r="I37" s="17">
        <f>SUMIF(MVTO!$C$3:$C$72,"Sócio_Pátricia",MVTO!$I$3:$I$72)</f>
        <v>46038.11</v>
      </c>
      <c r="J37" s="17"/>
      <c r="K37" s="17">
        <f>SUMIF(MVTO!$C$3:$C$72,"Sócio_Pátricia",MVTO!$J$3:$J$72)</f>
        <v>46008.67</v>
      </c>
      <c r="L37" s="17"/>
      <c r="M37" s="17">
        <f>SUMIF(MVTO!$C$3:$C$72,"Sócio_Pátricia",MVTO!$K$3:$K$72)</f>
        <v>46052.85</v>
      </c>
      <c r="N37" s="17"/>
      <c r="O37" s="17">
        <f>SUMIF(MVTO!$C$3:$C$72,"Sócio_Pátricia",MVTO!$L$3:$L$72)</f>
        <v>37200</v>
      </c>
      <c r="P37" s="17"/>
      <c r="Q37" s="17">
        <f>SUMIF(MVTO!$C$3:$C$72,"Sócio_Pátricia",MVTO!$M$3:$M$72)</f>
        <v>0</v>
      </c>
      <c r="R37" s="17"/>
      <c r="S37" s="17">
        <f>SUMIF(MVTO!$C$3:$C$72,"Sócio_Pátricia",MVTO!N$3:$N$72)</f>
        <v>0</v>
      </c>
      <c r="T37" s="17"/>
      <c r="U37" s="17">
        <f>SUMIF(MVTO!$C$3:$C$72,"Sócio_Pátricia",MVTO!$O$3:$O$72)</f>
        <v>0</v>
      </c>
      <c r="V37" s="17"/>
      <c r="W37" s="17">
        <f>SUMIF(MVTO!$C$3:$C$72,"Sócio_Pátricia",MVTO!$P$3:$P$72)</f>
        <v>0</v>
      </c>
      <c r="X37" s="17"/>
      <c r="Y37" s="17">
        <f>SUMIF(MVTO!$C$3:$C$72,"Sócio_Pátricia",MVTO!$Q$3:$Q$72)</f>
        <v>0</v>
      </c>
      <c r="Z37" s="17"/>
      <c r="AA37" s="17">
        <f>SUMIF(MVTO!$C$3:$C$72,"Sócio_Pátricia",MVTO!$R$3:$R$72)</f>
        <v>280789.33999999997</v>
      </c>
      <c r="AB37" s="17"/>
    </row>
    <row r="38" spans="2:28" x14ac:dyDescent="0.25">
      <c r="B38" s="10" t="s">
        <v>53</v>
      </c>
      <c r="C38" s="17">
        <f>SUMIF(MVTO!$C$3:$C$72,"Sócio_Tubertino",MVTO!$F$3:$F$72)</f>
        <v>38600</v>
      </c>
      <c r="D38" s="17"/>
      <c r="E38" s="17">
        <f>SUMIF(MVTO!$C$3:$C$72,"Sócio_Tubertino",MVTO!$G$3:$G$72)</f>
        <v>48573</v>
      </c>
      <c r="F38" s="17"/>
      <c r="G38" s="17">
        <f>SUMIF(MVTO!$C$3:$C$72,"Sócio_Tubertino",MVTO!$H$3:$H$72)</f>
        <v>53541.84</v>
      </c>
      <c r="H38" s="17"/>
      <c r="I38" s="17">
        <f>SUMIF(MVTO!$C$3:$C$72,"Sócio_Tubertino",MVTO!$I$3:$I$72)</f>
        <v>84580.160000000003</v>
      </c>
      <c r="J38" s="17"/>
      <c r="K38" s="17">
        <f>SUMIF(MVTO!$C$3:$C$72,"Sócio_Tubertino",MVTO!$J$3:$J$72)</f>
        <v>50526.6</v>
      </c>
      <c r="L38" s="17"/>
      <c r="M38" s="17">
        <f>SUMIF(MVTO!$C$3:$C$72,"Sócio_Tubertino",MVTO!$K$3:$K$72)</f>
        <v>54403.520000000004</v>
      </c>
      <c r="N38" s="17"/>
      <c r="O38" s="17">
        <f>SUMIF(MVTO!$C$3:$C$72,"Sócio_Tubertino",MVTO!$L$3:$L$72)</f>
        <v>113326.8</v>
      </c>
      <c r="P38" s="17"/>
      <c r="Q38" s="17">
        <f>SUMIF(MVTO!$C$3:$C$72,"Sócio_Tubertino",MVTO!$M$3:$M$72)</f>
        <v>0</v>
      </c>
      <c r="R38" s="17"/>
      <c r="S38" s="17">
        <f>SUMIF(MVTO!$C$3:$C$72,"Sócio_Tubertino",MVTO!$N$3:$N$72)</f>
        <v>0</v>
      </c>
      <c r="T38" s="17"/>
      <c r="U38" s="17">
        <f>SUMIF(MVTO!$C$3:$C$72,"Sócio_Tubertino",MVTO!$O$3:$O$72)</f>
        <v>0</v>
      </c>
      <c r="V38" s="17"/>
      <c r="W38" s="17">
        <f>SUMIF(MVTO!$C$3:$C$72,"Sócio_Tubertino",MVTO!$P$3:$P$72)</f>
        <v>0</v>
      </c>
      <c r="X38" s="17"/>
      <c r="Y38" s="17">
        <f>SUMIF(MVTO!$C$3:$C$72,"Sócio_Tubertino",MVTO!$Q$3:$Q$72)</f>
        <v>0</v>
      </c>
      <c r="Z38" s="17"/>
      <c r="AA38" s="17">
        <f>SUMIF(MVTO!$C$3:$C$72,"Sócio_Tubertino",MVTO!$R$3:$R$72)</f>
        <v>443551.92</v>
      </c>
      <c r="AB38" s="17"/>
    </row>
    <row r="39" spans="2:28" x14ac:dyDescent="0.25">
      <c r="B39" s="71" t="s">
        <v>96</v>
      </c>
      <c r="C39" s="72">
        <f>C33-C34</f>
        <v>-182388.65</v>
      </c>
      <c r="D39" s="72"/>
      <c r="E39" s="72">
        <f>E33-E34</f>
        <v>332592.29999999964</v>
      </c>
      <c r="F39" s="72"/>
      <c r="G39" s="72">
        <f>G33-G34</f>
        <v>317487.86000000004</v>
      </c>
      <c r="H39" s="72"/>
      <c r="I39" s="72">
        <f>I33-I34</f>
        <v>-422804.72000000003</v>
      </c>
      <c r="J39" s="72"/>
      <c r="K39" s="72">
        <f t="shared" ref="K39" si="25">K33-K34</f>
        <v>-108433.80999999991</v>
      </c>
      <c r="L39" s="72"/>
      <c r="M39" s="72">
        <f t="shared" ref="M39" si="26">M33-M34</f>
        <v>-70025.999999999942</v>
      </c>
      <c r="N39" s="72"/>
      <c r="O39" s="72">
        <f>O33-O34</f>
        <v>-85811.379999999946</v>
      </c>
      <c r="P39" s="72"/>
      <c r="Q39" s="72">
        <f>Q33-Q34</f>
        <v>0</v>
      </c>
      <c r="R39" s="72"/>
      <c r="S39" s="72">
        <f>S33-S34</f>
        <v>0</v>
      </c>
      <c r="T39" s="72"/>
      <c r="U39" s="72">
        <f>U33-U34</f>
        <v>0</v>
      </c>
      <c r="V39" s="72"/>
      <c r="W39" s="72">
        <f>W33-W34</f>
        <v>0</v>
      </c>
      <c r="X39" s="72"/>
      <c r="Y39" s="72">
        <f t="shared" ref="Y39" si="27">Y33-Y34</f>
        <v>0</v>
      </c>
      <c r="Z39" s="72"/>
      <c r="AA39" s="72">
        <f t="shared" ref="AA39" si="28">AA33-AA34</f>
        <v>-249897.03999999957</v>
      </c>
      <c r="AB39" s="72"/>
    </row>
    <row r="41" spans="2:28" x14ac:dyDescent="0.25">
      <c r="K41" s="29"/>
      <c r="L41" s="29"/>
    </row>
    <row r="42" spans="2:28" x14ac:dyDescent="0.25">
      <c r="E42" s="29"/>
      <c r="F42" s="29"/>
      <c r="AA42" s="29"/>
      <c r="AB42" s="29"/>
    </row>
    <row r="43" spans="2:28" x14ac:dyDescent="0.25">
      <c r="K43" s="29"/>
      <c r="L43" s="29"/>
    </row>
    <row r="44" spans="2:28" x14ac:dyDescent="0.25">
      <c r="E44" s="29"/>
      <c r="F44" s="29"/>
      <c r="AA44" s="29"/>
      <c r="AB44" s="29"/>
    </row>
  </sheetData>
  <mergeCells count="14">
    <mergeCell ref="B4:B6"/>
    <mergeCell ref="S5:T5"/>
    <mergeCell ref="AA5:AB5"/>
    <mergeCell ref="C5:D5"/>
    <mergeCell ref="E5:F5"/>
    <mergeCell ref="G5:H5"/>
    <mergeCell ref="I5:J5"/>
    <mergeCell ref="K5:L5"/>
    <mergeCell ref="M5:N5"/>
    <mergeCell ref="Y5:Z5"/>
    <mergeCell ref="U5:V5"/>
    <mergeCell ref="O5:P5"/>
    <mergeCell ref="Q5:R5"/>
    <mergeCell ref="W5:X5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6964-BAAB-49A8-B0D5-3DCA44C3D66A}">
  <dimension ref="B1:R91"/>
  <sheetViews>
    <sheetView showGridLines="0" tabSelected="1" workbookViewId="0">
      <pane xSplit="5" ySplit="2" topLeftCell="I3" activePane="bottomRight" state="frozen"/>
      <selection pane="topRight" activeCell="F1" sqref="F1"/>
      <selection pane="bottomLeft" activeCell="A13" sqref="A13"/>
      <selection pane="bottomRight" activeCell="M73" sqref="M73"/>
    </sheetView>
  </sheetViews>
  <sheetFormatPr defaultRowHeight="15" x14ac:dyDescent="0.25"/>
  <cols>
    <col min="3" max="3" width="17.7109375" style="32" customWidth="1"/>
    <col min="4" max="4" width="8.7109375" customWidth="1"/>
    <col min="5" max="5" width="41.7109375" customWidth="1"/>
    <col min="6" max="6" width="14.5703125" style="46" bestFit="1" customWidth="1"/>
    <col min="7" max="7" width="16.5703125" bestFit="1" customWidth="1"/>
    <col min="8" max="8" width="13.85546875" style="2" bestFit="1" customWidth="1"/>
    <col min="9" max="9" width="13.28515625" style="2" bestFit="1" customWidth="1"/>
    <col min="10" max="10" width="11.28515625" style="2" customWidth="1"/>
    <col min="11" max="11" width="13.28515625" customWidth="1"/>
    <col min="12" max="12" width="15.28515625" style="2" customWidth="1"/>
    <col min="13" max="13" width="11.85546875" style="2" customWidth="1"/>
    <col min="14" max="14" width="14.42578125" style="2" customWidth="1"/>
    <col min="15" max="15" width="16" style="2" customWidth="1"/>
    <col min="16" max="16" width="12.28515625" style="2" customWidth="1"/>
    <col min="17" max="17" width="11.7109375" style="2" customWidth="1"/>
    <col min="18" max="18" width="14.28515625" customWidth="1"/>
  </cols>
  <sheetData>
    <row r="1" spans="2:18" x14ac:dyDescent="0.25">
      <c r="B1" s="128"/>
    </row>
    <row r="2" spans="2:18" s="3" customFormat="1" x14ac:dyDescent="0.25">
      <c r="B2" s="40" t="s">
        <v>25</v>
      </c>
      <c r="C2" s="41" t="s">
        <v>26</v>
      </c>
      <c r="D2" s="40" t="s">
        <v>0</v>
      </c>
      <c r="E2" s="40" t="s">
        <v>1</v>
      </c>
      <c r="F2" s="43" t="s">
        <v>34</v>
      </c>
      <c r="G2" s="42" t="s">
        <v>35</v>
      </c>
      <c r="H2" s="42" t="s">
        <v>36</v>
      </c>
      <c r="I2" s="42" t="s">
        <v>37</v>
      </c>
      <c r="J2" s="42" t="s">
        <v>38</v>
      </c>
      <c r="K2" s="42" t="s">
        <v>39</v>
      </c>
      <c r="L2" s="42" t="s">
        <v>40</v>
      </c>
      <c r="M2" s="42" t="s">
        <v>41</v>
      </c>
      <c r="N2" s="42" t="s">
        <v>42</v>
      </c>
      <c r="O2" s="42" t="s">
        <v>43</v>
      </c>
      <c r="P2" s="42" t="s">
        <v>44</v>
      </c>
      <c r="Q2" s="42" t="s">
        <v>45</v>
      </c>
      <c r="R2" s="42" t="s">
        <v>46</v>
      </c>
    </row>
    <row r="3" spans="2:18" x14ac:dyDescent="0.25">
      <c r="B3" s="33" t="s">
        <v>17</v>
      </c>
      <c r="C3" s="34" t="s">
        <v>60</v>
      </c>
      <c r="D3" s="33">
        <v>112101</v>
      </c>
      <c r="E3" s="35" t="s">
        <v>2</v>
      </c>
      <c r="F3" s="44">
        <v>19875.28</v>
      </c>
      <c r="G3" s="36">
        <v>40161.629999999997</v>
      </c>
      <c r="H3" s="36">
        <v>38795.06</v>
      </c>
      <c r="I3" s="67">
        <v>26231.38</v>
      </c>
      <c r="J3" s="36">
        <v>51183.74</v>
      </c>
      <c r="K3" s="36">
        <v>34086.269999999997</v>
      </c>
      <c r="L3" s="36">
        <v>40272.17</v>
      </c>
      <c r="M3" s="36"/>
      <c r="N3" s="36"/>
      <c r="O3" s="36"/>
      <c r="P3" s="36"/>
      <c r="Q3" s="36"/>
      <c r="R3" s="54">
        <f>SUM(F3:Q3)</f>
        <v>250605.52999999997</v>
      </c>
    </row>
    <row r="4" spans="2:18" x14ac:dyDescent="0.25">
      <c r="B4" s="33" t="s">
        <v>17</v>
      </c>
      <c r="C4" s="34" t="s">
        <v>61</v>
      </c>
      <c r="D4" s="33">
        <v>112101</v>
      </c>
      <c r="E4" s="35" t="s">
        <v>115</v>
      </c>
      <c r="F4" s="44">
        <v>25000</v>
      </c>
      <c r="G4" s="36">
        <v>980250.35</v>
      </c>
      <c r="H4" s="36">
        <v>60836.15</v>
      </c>
      <c r="I4" s="44">
        <v>2177</v>
      </c>
      <c r="J4" s="36">
        <v>220742.97</v>
      </c>
      <c r="K4" s="36">
        <v>40000</v>
      </c>
      <c r="L4" s="36">
        <v>20000</v>
      </c>
      <c r="M4" s="36"/>
      <c r="N4" s="36"/>
      <c r="O4" s="145"/>
      <c r="P4" s="36"/>
      <c r="Q4" s="36"/>
      <c r="R4" s="54">
        <f t="shared" ref="R4:R70" si="0">SUM(F4:Q4)</f>
        <v>1349006.47</v>
      </c>
    </row>
    <row r="5" spans="2:18" x14ac:dyDescent="0.25">
      <c r="B5" s="33" t="s">
        <v>17</v>
      </c>
      <c r="C5" s="34" t="s">
        <v>62</v>
      </c>
      <c r="D5" s="33">
        <v>112101</v>
      </c>
      <c r="E5" s="35" t="s">
        <v>116</v>
      </c>
      <c r="F5" s="44">
        <v>100847.05</v>
      </c>
      <c r="G5" s="36">
        <v>140045.89000000001</v>
      </c>
      <c r="H5" s="36">
        <v>342469.87</v>
      </c>
      <c r="I5" s="44">
        <v>12000</v>
      </c>
      <c r="J5" s="36">
        <v>13425</v>
      </c>
      <c r="K5" s="36">
        <v>233116.41</v>
      </c>
      <c r="L5" s="36">
        <v>108332.31</v>
      </c>
      <c r="M5" s="36"/>
      <c r="N5" s="36"/>
      <c r="O5" s="145"/>
      <c r="P5" s="36"/>
      <c r="Q5" s="36"/>
      <c r="R5" s="54">
        <f t="shared" si="0"/>
        <v>950236.53</v>
      </c>
    </row>
    <row r="6" spans="2:18" x14ac:dyDescent="0.25">
      <c r="B6" s="33" t="s">
        <v>17</v>
      </c>
      <c r="C6" s="34" t="s">
        <v>63</v>
      </c>
      <c r="D6" s="33">
        <v>112101</v>
      </c>
      <c r="E6" s="35" t="s">
        <v>117</v>
      </c>
      <c r="F6" s="44"/>
      <c r="G6" s="36">
        <v>173814.62</v>
      </c>
      <c r="H6" s="36">
        <v>182344.9</v>
      </c>
      <c r="I6" s="44">
        <v>74940.3</v>
      </c>
      <c r="J6" s="36">
        <v>12000</v>
      </c>
      <c r="K6" s="36">
        <v>92193.49</v>
      </c>
      <c r="L6" s="36">
        <v>162868.32</v>
      </c>
      <c r="M6" s="36"/>
      <c r="N6" s="36"/>
      <c r="O6" s="145"/>
      <c r="P6" s="36"/>
      <c r="Q6" s="36"/>
      <c r="R6" s="54">
        <f t="shared" si="0"/>
        <v>698161.63000000012</v>
      </c>
    </row>
    <row r="7" spans="2:18" x14ac:dyDescent="0.25">
      <c r="B7" s="33" t="s">
        <v>17</v>
      </c>
      <c r="C7" s="34" t="s">
        <v>149</v>
      </c>
      <c r="D7" s="33">
        <v>112101</v>
      </c>
      <c r="E7" s="35" t="s">
        <v>148</v>
      </c>
      <c r="F7" s="44"/>
      <c r="G7" s="36">
        <v>100000</v>
      </c>
      <c r="H7" s="36">
        <v>100000</v>
      </c>
      <c r="I7" s="44"/>
      <c r="J7" s="36">
        <v>100000</v>
      </c>
      <c r="K7" s="36">
        <v>50000</v>
      </c>
      <c r="L7" s="36">
        <v>100000</v>
      </c>
      <c r="M7" s="36"/>
      <c r="N7" s="36"/>
      <c r="O7" s="36"/>
      <c r="P7" s="36"/>
      <c r="Q7" s="36"/>
      <c r="R7" s="54">
        <f>SUM(F7:Q7)</f>
        <v>450000</v>
      </c>
    </row>
    <row r="8" spans="2:18" x14ac:dyDescent="0.25">
      <c r="B8" s="33" t="s">
        <v>17</v>
      </c>
      <c r="C8" s="34" t="s">
        <v>47</v>
      </c>
      <c r="D8" s="33">
        <v>112701</v>
      </c>
      <c r="E8" s="137" t="s">
        <v>166</v>
      </c>
      <c r="F8" s="44"/>
      <c r="G8" s="36"/>
      <c r="H8" s="36"/>
      <c r="I8" s="44"/>
      <c r="J8" s="36">
        <v>33958</v>
      </c>
      <c r="K8" s="36">
        <v>13456.21</v>
      </c>
      <c r="L8" s="36"/>
      <c r="M8" s="36"/>
      <c r="N8" s="36"/>
      <c r="O8" s="36"/>
      <c r="P8" s="36"/>
      <c r="Q8" s="36"/>
      <c r="R8" s="54"/>
    </row>
    <row r="9" spans="2:18" x14ac:dyDescent="0.25">
      <c r="B9" s="33" t="s">
        <v>17</v>
      </c>
      <c r="C9" s="34" t="s">
        <v>167</v>
      </c>
      <c r="D9" s="33">
        <v>111801</v>
      </c>
      <c r="E9" s="35" t="s">
        <v>159</v>
      </c>
      <c r="F9" s="44"/>
      <c r="G9" s="36"/>
      <c r="H9" s="36"/>
      <c r="I9" s="44"/>
      <c r="J9" s="36"/>
      <c r="K9" s="36"/>
      <c r="L9" s="36"/>
      <c r="M9" s="36"/>
      <c r="N9" s="36"/>
      <c r="O9" s="36"/>
      <c r="P9" s="36"/>
      <c r="Q9" s="36"/>
      <c r="R9" s="54">
        <f t="shared" si="0"/>
        <v>0</v>
      </c>
    </row>
    <row r="10" spans="2:18" x14ac:dyDescent="0.25">
      <c r="B10" s="33" t="s">
        <v>17</v>
      </c>
      <c r="C10" s="34" t="s">
        <v>64</v>
      </c>
      <c r="D10" s="33">
        <v>121953</v>
      </c>
      <c r="E10" s="35" t="s">
        <v>101</v>
      </c>
      <c r="F10" s="44"/>
      <c r="G10" s="36"/>
      <c r="H10" s="36"/>
      <c r="I10" s="44"/>
      <c r="J10" s="36"/>
      <c r="K10" s="36"/>
      <c r="L10" s="36"/>
      <c r="M10" s="36"/>
      <c r="N10" s="36"/>
      <c r="O10" s="36"/>
      <c r="P10" s="36"/>
      <c r="Q10" s="36"/>
      <c r="R10" s="54">
        <f t="shared" si="0"/>
        <v>0</v>
      </c>
    </row>
    <row r="11" spans="2:18" x14ac:dyDescent="0.25">
      <c r="B11" s="33" t="s">
        <v>17</v>
      </c>
      <c r="C11" s="34" t="s">
        <v>47</v>
      </c>
      <c r="D11" s="33">
        <v>211903</v>
      </c>
      <c r="E11" s="35" t="s">
        <v>168</v>
      </c>
      <c r="F11" s="44"/>
      <c r="G11" s="36"/>
      <c r="H11" s="36"/>
      <c r="I11" s="44"/>
      <c r="J11" s="36"/>
      <c r="K11" s="36"/>
      <c r="L11" s="36"/>
      <c r="M11" s="36"/>
      <c r="N11" s="36"/>
      <c r="O11" s="36"/>
      <c r="P11" s="36"/>
      <c r="Q11" s="36"/>
      <c r="R11" s="54">
        <f t="shared" si="0"/>
        <v>0</v>
      </c>
    </row>
    <row r="12" spans="2:18" x14ac:dyDescent="0.25">
      <c r="B12" s="33" t="s">
        <v>17</v>
      </c>
      <c r="C12" s="138" t="s">
        <v>158</v>
      </c>
      <c r="D12" s="33">
        <v>211925</v>
      </c>
      <c r="E12" s="137" t="s">
        <v>165</v>
      </c>
      <c r="F12" s="44"/>
      <c r="G12" s="36"/>
      <c r="H12" s="36"/>
      <c r="I12" s="44"/>
      <c r="J12" s="36"/>
      <c r="K12" s="36"/>
      <c r="L12" s="36"/>
      <c r="M12" s="36"/>
      <c r="N12" s="36"/>
      <c r="O12" s="36"/>
      <c r="P12" s="36"/>
      <c r="Q12" s="36"/>
      <c r="R12" s="54">
        <f t="shared" si="0"/>
        <v>0</v>
      </c>
    </row>
    <row r="13" spans="2:18" x14ac:dyDescent="0.25">
      <c r="B13" s="33" t="s">
        <v>17</v>
      </c>
      <c r="C13" s="34" t="s">
        <v>48</v>
      </c>
      <c r="D13" s="33">
        <v>211945</v>
      </c>
      <c r="E13" s="137" t="s">
        <v>50</v>
      </c>
      <c r="F13" s="44"/>
      <c r="G13" s="36"/>
      <c r="H13" s="36"/>
      <c r="I13" s="44"/>
      <c r="J13" s="36"/>
      <c r="K13" s="36"/>
      <c r="L13" s="36"/>
      <c r="M13" s="36"/>
      <c r="N13" s="36"/>
      <c r="O13" s="36"/>
      <c r="P13" s="36"/>
      <c r="Q13" s="36"/>
      <c r="R13" s="54">
        <f t="shared" si="0"/>
        <v>0</v>
      </c>
    </row>
    <row r="14" spans="2:18" x14ac:dyDescent="0.25">
      <c r="B14" s="33" t="s">
        <v>17</v>
      </c>
      <c r="C14" s="34" t="s">
        <v>49</v>
      </c>
      <c r="D14" s="33">
        <v>211947</v>
      </c>
      <c r="E14" s="137" t="s">
        <v>155</v>
      </c>
      <c r="F14" s="44"/>
      <c r="G14" s="139"/>
      <c r="H14" s="36"/>
      <c r="I14" s="44"/>
      <c r="J14" s="36"/>
      <c r="K14" s="36"/>
      <c r="L14" s="36"/>
      <c r="M14" s="36"/>
      <c r="N14" s="36"/>
      <c r="O14" s="36"/>
      <c r="P14" s="36"/>
      <c r="Q14" s="36"/>
      <c r="R14" s="54">
        <f t="shared" si="0"/>
        <v>0</v>
      </c>
    </row>
    <row r="15" spans="2:18" x14ac:dyDescent="0.25">
      <c r="B15" s="33" t="s">
        <v>17</v>
      </c>
      <c r="C15" s="34" t="s">
        <v>78</v>
      </c>
      <c r="D15" s="33">
        <v>311110</v>
      </c>
      <c r="E15" s="35" t="s">
        <v>56</v>
      </c>
      <c r="F15" s="44"/>
      <c r="G15" s="36"/>
      <c r="H15" s="36"/>
      <c r="I15" s="44"/>
      <c r="J15" s="36"/>
      <c r="K15" s="36"/>
      <c r="L15" s="36"/>
      <c r="M15" s="36"/>
      <c r="N15" s="36"/>
      <c r="O15" s="36"/>
      <c r="P15" s="36"/>
      <c r="Q15" s="36"/>
      <c r="R15" s="54">
        <f t="shared" si="0"/>
        <v>0</v>
      </c>
    </row>
    <row r="16" spans="2:18" x14ac:dyDescent="0.25">
      <c r="B16" s="33" t="s">
        <v>17</v>
      </c>
      <c r="C16" s="34" t="s">
        <v>158</v>
      </c>
      <c r="D16" s="33">
        <v>311501</v>
      </c>
      <c r="E16" s="35" t="s">
        <v>156</v>
      </c>
      <c r="F16" s="44">
        <v>145722.32999999999</v>
      </c>
      <c r="G16" s="36">
        <v>1434272.49</v>
      </c>
      <c r="H16" s="36">
        <v>723923.2</v>
      </c>
      <c r="I16" s="44">
        <v>113171.68</v>
      </c>
      <c r="J16" s="36">
        <v>397351.71</v>
      </c>
      <c r="K16" s="36">
        <v>429396.17</v>
      </c>
      <c r="L16" s="36">
        <v>257309.04</v>
      </c>
      <c r="M16" s="36"/>
      <c r="N16" s="36"/>
      <c r="O16" s="36"/>
      <c r="P16" s="36"/>
      <c r="Q16" s="36"/>
      <c r="R16" s="54">
        <f t="shared" si="0"/>
        <v>3501146.62</v>
      </c>
    </row>
    <row r="17" spans="2:18" x14ac:dyDescent="0.25">
      <c r="B17" s="33" t="s">
        <v>17</v>
      </c>
      <c r="C17" s="34" t="s">
        <v>49</v>
      </c>
      <c r="D17" s="33">
        <v>313101</v>
      </c>
      <c r="E17" s="35" t="s">
        <v>102</v>
      </c>
      <c r="F17" s="44"/>
      <c r="G17" s="36"/>
      <c r="H17" s="36"/>
      <c r="I17" s="44"/>
      <c r="J17" s="36"/>
      <c r="K17" s="36"/>
      <c r="L17" s="36"/>
      <c r="M17" s="36"/>
      <c r="N17" s="36"/>
      <c r="O17" s="36"/>
      <c r="P17" s="36"/>
      <c r="Q17" s="36"/>
      <c r="R17" s="54">
        <f t="shared" si="0"/>
        <v>0</v>
      </c>
    </row>
    <row r="18" spans="2:18" x14ac:dyDescent="0.25">
      <c r="B18" s="33" t="s">
        <v>17</v>
      </c>
      <c r="C18" s="34" t="s">
        <v>49</v>
      </c>
      <c r="D18" s="33">
        <v>313102</v>
      </c>
      <c r="E18" s="35" t="s">
        <v>104</v>
      </c>
      <c r="F18" s="44"/>
      <c r="G18" s="36"/>
      <c r="H18" s="36"/>
      <c r="I18" s="44">
        <v>0.03</v>
      </c>
      <c r="J18" s="36"/>
      <c r="K18" s="36">
        <v>0.02</v>
      </c>
      <c r="L18" s="36"/>
      <c r="M18" s="36"/>
      <c r="N18" s="36"/>
      <c r="P18" s="36"/>
      <c r="Q18" s="36"/>
      <c r="R18" s="54">
        <f t="shared" si="0"/>
        <v>0.05</v>
      </c>
    </row>
    <row r="19" spans="2:18" x14ac:dyDescent="0.25">
      <c r="B19" s="33" t="s">
        <v>17</v>
      </c>
      <c r="C19" s="34" t="s">
        <v>49</v>
      </c>
      <c r="D19" s="33">
        <v>313105</v>
      </c>
      <c r="E19" s="35" t="s">
        <v>111</v>
      </c>
      <c r="F19" s="44">
        <v>895.6</v>
      </c>
      <c r="G19" s="36">
        <v>2445.33</v>
      </c>
      <c r="H19" s="36">
        <v>4780.5</v>
      </c>
      <c r="I19" s="44"/>
      <c r="J19" s="36">
        <v>2069.3000000000002</v>
      </c>
      <c r="K19" s="36">
        <v>683.6</v>
      </c>
      <c r="L19" s="36">
        <v>767.43</v>
      </c>
      <c r="M19" s="36"/>
      <c r="N19" s="36"/>
      <c r="O19" s="36"/>
      <c r="P19" s="36"/>
      <c r="Q19" s="36"/>
      <c r="R19" s="54">
        <f t="shared" si="0"/>
        <v>11641.76</v>
      </c>
    </row>
    <row r="20" spans="2:18" x14ac:dyDescent="0.25">
      <c r="B20" s="33" t="s">
        <v>17</v>
      </c>
      <c r="C20" s="34" t="s">
        <v>49</v>
      </c>
      <c r="D20" s="33">
        <v>313203</v>
      </c>
      <c r="E20" s="35" t="s">
        <v>4</v>
      </c>
      <c r="F20" s="44">
        <v>4.5</v>
      </c>
      <c r="G20" s="36">
        <v>10.8</v>
      </c>
      <c r="H20" s="36">
        <v>10.8</v>
      </c>
      <c r="I20" s="44">
        <v>8.6999999999999993</v>
      </c>
      <c r="J20" s="36">
        <v>10.199999999999999</v>
      </c>
      <c r="K20" s="36">
        <v>9.9</v>
      </c>
      <c r="L20" s="36">
        <v>11.1</v>
      </c>
      <c r="M20" s="36"/>
      <c r="N20" s="36"/>
      <c r="O20" s="36"/>
      <c r="P20" s="36"/>
      <c r="Q20" s="36"/>
      <c r="R20" s="54">
        <f t="shared" si="0"/>
        <v>66</v>
      </c>
    </row>
    <row r="21" spans="2:18" x14ac:dyDescent="0.25">
      <c r="B21" s="33" t="s">
        <v>17</v>
      </c>
      <c r="C21" s="34" t="s">
        <v>49</v>
      </c>
      <c r="D21" s="33">
        <v>333108</v>
      </c>
      <c r="E21" s="35" t="s">
        <v>16</v>
      </c>
      <c r="F21" s="44"/>
      <c r="G21" s="36"/>
      <c r="H21" s="36"/>
      <c r="I21" s="44"/>
      <c r="J21" s="36"/>
      <c r="K21" s="36"/>
      <c r="L21" s="36"/>
      <c r="M21" s="36"/>
      <c r="N21" s="36"/>
      <c r="O21" s="36"/>
      <c r="P21" s="36"/>
      <c r="Q21" s="36"/>
      <c r="R21" s="54">
        <f t="shared" si="0"/>
        <v>0</v>
      </c>
    </row>
    <row r="22" spans="2:18" x14ac:dyDescent="0.25">
      <c r="B22" s="33" t="s">
        <v>17</v>
      </c>
      <c r="C22" s="34" t="s">
        <v>49</v>
      </c>
      <c r="D22" s="33">
        <v>333205</v>
      </c>
      <c r="E22" s="35" t="s">
        <v>114</v>
      </c>
      <c r="F22" s="44"/>
      <c r="G22" s="36"/>
      <c r="H22" s="36"/>
      <c r="I22" s="44"/>
      <c r="J22" s="36"/>
      <c r="K22" s="36"/>
      <c r="L22" s="36"/>
      <c r="M22" s="36"/>
      <c r="N22" s="36"/>
      <c r="O22" s="36"/>
      <c r="P22" s="36"/>
      <c r="Q22" s="36"/>
      <c r="R22" s="54">
        <f t="shared" si="0"/>
        <v>0</v>
      </c>
    </row>
    <row r="23" spans="2:18" x14ac:dyDescent="0.25">
      <c r="B23" s="33" t="s">
        <v>17</v>
      </c>
      <c r="C23" s="34" t="s">
        <v>158</v>
      </c>
      <c r="D23" s="33">
        <v>214306</v>
      </c>
      <c r="E23" s="35" t="s">
        <v>157</v>
      </c>
      <c r="F23" s="44">
        <v>1698.3</v>
      </c>
      <c r="G23" s="133">
        <v>1789.6</v>
      </c>
      <c r="H23" s="36">
        <v>1871.11</v>
      </c>
      <c r="I23" s="44">
        <v>1960.32</v>
      </c>
      <c r="J23" s="36">
        <v>2045.62</v>
      </c>
      <c r="K23" s="36">
        <v>2132.7199999999998</v>
      </c>
      <c r="L23" s="36">
        <v>2216</v>
      </c>
      <c r="M23" s="36"/>
      <c r="N23" s="36"/>
      <c r="O23" s="36"/>
      <c r="P23" s="36"/>
      <c r="Q23" s="36"/>
      <c r="R23" s="54">
        <f t="shared" si="0"/>
        <v>13713.669999999998</v>
      </c>
    </row>
    <row r="24" spans="2:18" x14ac:dyDescent="0.25">
      <c r="B24" s="33" t="s">
        <v>17</v>
      </c>
      <c r="C24" s="34" t="s">
        <v>158</v>
      </c>
      <c r="D24" s="33">
        <v>214308</v>
      </c>
      <c r="E24" s="35" t="s">
        <v>163</v>
      </c>
      <c r="F24" s="44">
        <v>4576.79</v>
      </c>
      <c r="G24" s="133">
        <v>4530.3500000000004</v>
      </c>
      <c r="H24" s="36">
        <v>3292.7</v>
      </c>
      <c r="I24" s="44">
        <v>3589.47</v>
      </c>
      <c r="J24" s="36">
        <v>3358.46</v>
      </c>
      <c r="K24" s="36">
        <v>2723.71</v>
      </c>
      <c r="L24" s="36">
        <v>2480.81</v>
      </c>
      <c r="M24" s="36"/>
      <c r="N24" s="36"/>
      <c r="O24" s="36"/>
      <c r="P24" s="36"/>
      <c r="Q24" s="36"/>
      <c r="R24" s="54">
        <f t="shared" si="0"/>
        <v>24552.29</v>
      </c>
    </row>
    <row r="25" spans="2:18" x14ac:dyDescent="0.25">
      <c r="B25" s="33" t="s">
        <v>17</v>
      </c>
      <c r="C25" s="34" t="s">
        <v>60</v>
      </c>
      <c r="D25" s="33">
        <v>112949</v>
      </c>
      <c r="E25" s="35" t="s">
        <v>178</v>
      </c>
      <c r="F25" s="44"/>
      <c r="G25" s="36"/>
      <c r="H25" s="36"/>
      <c r="I25" s="44"/>
      <c r="J25" s="36"/>
      <c r="K25" s="36"/>
      <c r="L25" s="36"/>
      <c r="M25" s="36"/>
      <c r="N25" s="36"/>
      <c r="O25" s="36"/>
      <c r="P25" s="36"/>
      <c r="Q25" s="36"/>
      <c r="R25" s="54">
        <f t="shared" si="0"/>
        <v>0</v>
      </c>
    </row>
    <row r="26" spans="2:18" x14ac:dyDescent="0.25">
      <c r="B26" s="33" t="s">
        <v>18</v>
      </c>
      <c r="C26" s="34" t="s">
        <v>48</v>
      </c>
      <c r="D26" s="33">
        <v>112985</v>
      </c>
      <c r="E26" s="35" t="s">
        <v>112</v>
      </c>
      <c r="F26" s="44">
        <v>1424.27</v>
      </c>
      <c r="G26" s="36">
        <v>139.34</v>
      </c>
      <c r="H26" s="36">
        <v>684.09</v>
      </c>
      <c r="I26" s="44"/>
      <c r="J26" s="36">
        <v>791.88</v>
      </c>
      <c r="K26" s="36">
        <v>637.52</v>
      </c>
      <c r="L26" s="36">
        <v>168.15</v>
      </c>
      <c r="M26" s="36"/>
      <c r="N26" s="36"/>
      <c r="O26" s="36"/>
      <c r="P26" s="36"/>
      <c r="Q26" s="36"/>
      <c r="R26" s="54">
        <f t="shared" si="0"/>
        <v>3845.25</v>
      </c>
    </row>
    <row r="27" spans="2:18" x14ac:dyDescent="0.25">
      <c r="B27" s="33" t="s">
        <v>18</v>
      </c>
      <c r="C27" s="34" t="s">
        <v>48</v>
      </c>
      <c r="D27" s="33">
        <v>127201</v>
      </c>
      <c r="E27" s="35" t="s">
        <v>103</v>
      </c>
      <c r="F27" s="44"/>
      <c r="G27" s="36"/>
      <c r="H27" s="36"/>
      <c r="I27" s="44"/>
      <c r="J27" s="36"/>
      <c r="K27" s="36"/>
      <c r="L27" s="36"/>
      <c r="M27" s="36"/>
      <c r="N27" s="36"/>
      <c r="O27" s="36"/>
      <c r="P27" s="36"/>
      <c r="Q27" s="36"/>
      <c r="R27" s="54">
        <f t="shared" si="0"/>
        <v>0</v>
      </c>
    </row>
    <row r="28" spans="2:18" x14ac:dyDescent="0.25">
      <c r="B28" s="33" t="s">
        <v>18</v>
      </c>
      <c r="C28" s="34" t="s">
        <v>106</v>
      </c>
      <c r="D28" s="33">
        <v>211102</v>
      </c>
      <c r="E28" s="35" t="s">
        <v>107</v>
      </c>
      <c r="F28" s="44"/>
      <c r="G28" s="36"/>
      <c r="H28" s="36"/>
      <c r="I28" s="44">
        <v>426.95</v>
      </c>
      <c r="J28" s="36">
        <v>4352.8999999999996</v>
      </c>
      <c r="K28" s="36">
        <v>1442.45</v>
      </c>
      <c r="L28" s="36">
        <v>539</v>
      </c>
      <c r="M28" s="36"/>
      <c r="N28" s="36"/>
      <c r="O28" s="36"/>
      <c r="P28" s="36"/>
      <c r="Q28" s="36"/>
      <c r="R28" s="54">
        <f t="shared" si="0"/>
        <v>6761.2999999999993</v>
      </c>
    </row>
    <row r="29" spans="2:18" x14ac:dyDescent="0.25">
      <c r="B29" s="33" t="s">
        <v>18</v>
      </c>
      <c r="C29" s="34" t="s">
        <v>64</v>
      </c>
      <c r="D29" s="33">
        <v>211103</v>
      </c>
      <c r="E29" s="35" t="s">
        <v>54</v>
      </c>
      <c r="F29" s="44"/>
      <c r="G29" s="162"/>
      <c r="H29" s="36"/>
      <c r="I29" s="36"/>
      <c r="J29" s="140"/>
      <c r="K29" s="36"/>
      <c r="L29" s="36"/>
      <c r="M29" s="36"/>
      <c r="N29" s="36"/>
      <c r="O29" s="36"/>
      <c r="Q29" s="36"/>
      <c r="R29" s="54">
        <f t="shared" si="0"/>
        <v>0</v>
      </c>
    </row>
    <row r="30" spans="2:18" x14ac:dyDescent="0.25">
      <c r="B30" s="33" t="s">
        <v>18</v>
      </c>
      <c r="C30" s="34" t="s">
        <v>65</v>
      </c>
      <c r="D30" s="33">
        <v>211103</v>
      </c>
      <c r="E30" s="35" t="s">
        <v>54</v>
      </c>
      <c r="F30" s="44"/>
      <c r="G30" s="36"/>
      <c r="H30" s="36"/>
      <c r="I30" s="44"/>
      <c r="J30" s="36"/>
      <c r="K30" s="36"/>
      <c r="L30" s="36"/>
      <c r="M30" s="36"/>
      <c r="N30" s="36"/>
      <c r="O30" s="36"/>
      <c r="P30" s="36"/>
      <c r="Q30" s="36"/>
      <c r="R30" s="54">
        <f t="shared" si="0"/>
        <v>0</v>
      </c>
    </row>
    <row r="31" spans="2:18" x14ac:dyDescent="0.25">
      <c r="B31" s="33" t="s">
        <v>18</v>
      </c>
      <c r="C31" s="34" t="s">
        <v>106</v>
      </c>
      <c r="D31" s="33">
        <v>211103</v>
      </c>
      <c r="E31" s="35" t="s">
        <v>54</v>
      </c>
      <c r="F31" s="44">
        <v>287</v>
      </c>
      <c r="G31" s="162">
        <v>19769.07</v>
      </c>
      <c r="H31" s="36">
        <v>7392.08</v>
      </c>
      <c r="I31" s="44">
        <v>5538.74</v>
      </c>
      <c r="J31" s="36"/>
      <c r="K31" s="36">
        <v>4363.17</v>
      </c>
      <c r="L31" s="36">
        <v>3653.64</v>
      </c>
      <c r="M31" s="36"/>
      <c r="N31" s="36"/>
      <c r="O31" s="36"/>
      <c r="P31" s="36"/>
      <c r="Q31" s="36"/>
      <c r="R31" s="54">
        <f t="shared" si="0"/>
        <v>41003.699999999997</v>
      </c>
    </row>
    <row r="32" spans="2:18" x14ac:dyDescent="0.25">
      <c r="B32" s="33" t="s">
        <v>18</v>
      </c>
      <c r="C32" s="34" t="s">
        <v>66</v>
      </c>
      <c r="D32" s="33">
        <v>211104</v>
      </c>
      <c r="E32" s="35" t="s">
        <v>5</v>
      </c>
      <c r="F32" s="44">
        <v>900.1</v>
      </c>
      <c r="G32" s="36">
        <v>1447.43</v>
      </c>
      <c r="H32" s="36">
        <v>984.75</v>
      </c>
      <c r="I32" s="44">
        <v>1022.8</v>
      </c>
      <c r="J32" s="36">
        <v>767.55</v>
      </c>
      <c r="K32" s="36">
        <v>1670.95</v>
      </c>
      <c r="L32" s="36">
        <v>1314.24</v>
      </c>
      <c r="M32" s="36"/>
      <c r="N32" s="36"/>
      <c r="O32" s="36"/>
      <c r="P32" s="36"/>
      <c r="Q32" s="36"/>
      <c r="R32" s="54">
        <f t="shared" si="0"/>
        <v>8107.82</v>
      </c>
    </row>
    <row r="33" spans="2:18" x14ac:dyDescent="0.25">
      <c r="B33" s="33" t="s">
        <v>18</v>
      </c>
      <c r="C33" s="34" t="s">
        <v>48</v>
      </c>
      <c r="D33" s="33">
        <v>211105</v>
      </c>
      <c r="E33" s="35" t="s">
        <v>174</v>
      </c>
      <c r="F33" s="44"/>
      <c r="G33" s="36"/>
      <c r="H33" s="36">
        <v>522.78</v>
      </c>
      <c r="I33" s="44"/>
      <c r="J33" s="36"/>
      <c r="K33" s="36"/>
      <c r="L33" s="36"/>
      <c r="M33" s="36"/>
      <c r="N33" s="36"/>
      <c r="O33" s="36"/>
      <c r="P33" s="36"/>
      <c r="Q33" s="36"/>
      <c r="R33" s="54"/>
    </row>
    <row r="34" spans="2:18" x14ac:dyDescent="0.25">
      <c r="B34" s="33" t="s">
        <v>18</v>
      </c>
      <c r="C34" s="34" t="s">
        <v>108</v>
      </c>
      <c r="D34" s="33">
        <v>211201</v>
      </c>
      <c r="E34" s="35" t="s">
        <v>105</v>
      </c>
      <c r="F34" s="44"/>
      <c r="G34" s="36">
        <v>738529.3</v>
      </c>
      <c r="H34" s="36">
        <v>71960.509999999995</v>
      </c>
      <c r="I34" s="44">
        <v>89270.36</v>
      </c>
      <c r="J34" s="36">
        <v>170256.26</v>
      </c>
      <c r="K34" s="36">
        <v>103527.88</v>
      </c>
      <c r="L34" s="36">
        <v>86668.64</v>
      </c>
      <c r="M34" s="36"/>
      <c r="N34" s="36"/>
      <c r="O34" s="36"/>
      <c r="P34" s="36"/>
      <c r="Q34" s="36"/>
      <c r="R34" s="54">
        <f t="shared" si="0"/>
        <v>1260212.95</v>
      </c>
    </row>
    <row r="35" spans="2:18" x14ac:dyDescent="0.25">
      <c r="B35" s="33" t="s">
        <v>18</v>
      </c>
      <c r="C35" s="34" t="s">
        <v>65</v>
      </c>
      <c r="D35" s="33">
        <v>211301</v>
      </c>
      <c r="E35" s="35" t="s">
        <v>57</v>
      </c>
      <c r="F35" s="44"/>
      <c r="G35" s="36"/>
      <c r="H35" s="36"/>
      <c r="I35" s="44"/>
      <c r="J35" s="36"/>
      <c r="K35" s="36"/>
      <c r="L35" s="36"/>
      <c r="M35" s="36"/>
      <c r="N35" s="36"/>
      <c r="O35" s="36"/>
      <c r="P35" s="36"/>
      <c r="Q35" s="36"/>
      <c r="R35" s="54">
        <f t="shared" si="0"/>
        <v>0</v>
      </c>
    </row>
    <row r="36" spans="2:18" x14ac:dyDescent="0.25">
      <c r="B36" s="33" t="s">
        <v>18</v>
      </c>
      <c r="C36" s="34" t="s">
        <v>65</v>
      </c>
      <c r="D36" s="33">
        <v>211304</v>
      </c>
      <c r="E36" s="35" t="s">
        <v>98</v>
      </c>
      <c r="F36" s="44"/>
      <c r="G36" s="36"/>
      <c r="H36" s="36"/>
      <c r="I36" s="44"/>
      <c r="J36" s="36"/>
      <c r="K36" s="36"/>
      <c r="L36" s="36"/>
      <c r="M36" s="36"/>
      <c r="N36" s="36"/>
      <c r="O36" s="36"/>
      <c r="P36" s="36"/>
      <c r="Q36" s="36"/>
      <c r="R36" s="54">
        <f t="shared" si="0"/>
        <v>0</v>
      </c>
    </row>
    <row r="37" spans="2:18" x14ac:dyDescent="0.25">
      <c r="B37" s="33" t="s">
        <v>18</v>
      </c>
      <c r="C37" s="34" t="s">
        <v>65</v>
      </c>
      <c r="D37" s="33">
        <v>211307</v>
      </c>
      <c r="E37" s="35" t="s">
        <v>55</v>
      </c>
      <c r="F37" s="44"/>
      <c r="G37" s="36"/>
      <c r="H37" s="36"/>
      <c r="I37" s="44"/>
      <c r="J37" s="36"/>
      <c r="K37" s="36"/>
      <c r="L37" s="36"/>
      <c r="M37" s="36"/>
      <c r="N37" s="36"/>
      <c r="O37" s="36"/>
      <c r="P37" s="36"/>
      <c r="Q37" s="36"/>
      <c r="R37" s="54">
        <f t="shared" si="0"/>
        <v>0</v>
      </c>
    </row>
    <row r="38" spans="2:18" x14ac:dyDescent="0.25">
      <c r="B38" s="33" t="s">
        <v>18</v>
      </c>
      <c r="C38" s="34" t="s">
        <v>27</v>
      </c>
      <c r="D38" s="33">
        <v>211501</v>
      </c>
      <c r="E38" s="35" t="s">
        <v>177</v>
      </c>
      <c r="F38" s="44"/>
      <c r="G38" s="36">
        <v>533.04999999999995</v>
      </c>
      <c r="H38" s="36">
        <v>6286.55</v>
      </c>
      <c r="I38" s="44">
        <v>56.5</v>
      </c>
      <c r="J38" s="36">
        <v>10741.77</v>
      </c>
      <c r="K38" s="36">
        <v>1233.8</v>
      </c>
      <c r="L38" s="36">
        <v>79.78</v>
      </c>
      <c r="M38" s="36"/>
      <c r="N38" s="36"/>
      <c r="O38" s="36"/>
      <c r="P38" s="36"/>
      <c r="Q38" s="36"/>
      <c r="R38" s="54">
        <f t="shared" si="0"/>
        <v>18931.45</v>
      </c>
    </row>
    <row r="39" spans="2:18" x14ac:dyDescent="0.25">
      <c r="B39" s="33" t="s">
        <v>18</v>
      </c>
      <c r="C39" s="34" t="s">
        <v>28</v>
      </c>
      <c r="D39" s="33">
        <v>211502</v>
      </c>
      <c r="E39" s="35" t="s">
        <v>6</v>
      </c>
      <c r="F39" s="44">
        <v>3649.92</v>
      </c>
      <c r="G39" s="36">
        <v>3234.04</v>
      </c>
      <c r="H39" s="36">
        <v>3106.1</v>
      </c>
      <c r="I39" s="44">
        <v>3285.49</v>
      </c>
      <c r="J39" s="36">
        <v>3315.66</v>
      </c>
      <c r="K39" s="36">
        <v>3330.61</v>
      </c>
      <c r="L39" s="36">
        <v>3116.93</v>
      </c>
      <c r="M39" s="36"/>
      <c r="N39" s="36"/>
      <c r="O39" s="36"/>
      <c r="P39" s="36"/>
      <c r="Q39" s="36"/>
      <c r="R39" s="54">
        <f t="shared" si="0"/>
        <v>23038.75</v>
      </c>
    </row>
    <row r="40" spans="2:18" x14ac:dyDescent="0.25">
      <c r="B40" s="33" t="s">
        <v>18</v>
      </c>
      <c r="C40" s="34" t="s">
        <v>28</v>
      </c>
      <c r="D40" s="33">
        <v>211503</v>
      </c>
      <c r="E40" s="35" t="s">
        <v>7</v>
      </c>
      <c r="F40" s="44">
        <v>16890.09</v>
      </c>
      <c r="G40" s="36">
        <v>14935.31</v>
      </c>
      <c r="H40" s="36">
        <v>14360.34</v>
      </c>
      <c r="I40" s="44">
        <v>15211.62</v>
      </c>
      <c r="J40" s="36">
        <v>15303.06</v>
      </c>
      <c r="K40" s="36">
        <v>15392.75</v>
      </c>
      <c r="L40" s="36">
        <v>14392.67</v>
      </c>
      <c r="M40" s="36"/>
      <c r="N40" s="36"/>
      <c r="O40" s="36"/>
      <c r="P40" s="36"/>
      <c r="Q40" s="36"/>
      <c r="R40" s="54">
        <f t="shared" si="0"/>
        <v>106485.84000000001</v>
      </c>
    </row>
    <row r="41" spans="2:18" x14ac:dyDescent="0.25">
      <c r="B41" s="33" t="s">
        <v>18</v>
      </c>
      <c r="C41" s="34" t="s">
        <v>65</v>
      </c>
      <c r="D41" s="33">
        <v>211504</v>
      </c>
      <c r="E41" s="35" t="s">
        <v>58</v>
      </c>
      <c r="F41" s="44"/>
      <c r="G41" s="36"/>
      <c r="H41" s="36"/>
      <c r="I41" s="44"/>
      <c r="J41" s="36"/>
      <c r="K41" s="36"/>
      <c r="L41" s="36"/>
      <c r="M41" s="36"/>
      <c r="N41" s="36"/>
      <c r="O41" s="36"/>
      <c r="P41" s="36"/>
      <c r="Q41" s="36"/>
      <c r="R41" s="54">
        <f t="shared" si="0"/>
        <v>0</v>
      </c>
    </row>
    <row r="42" spans="2:18" x14ac:dyDescent="0.25">
      <c r="B42" s="33" t="s">
        <v>18</v>
      </c>
      <c r="C42" s="34" t="s">
        <v>65</v>
      </c>
      <c r="D42" s="33">
        <v>211505</v>
      </c>
      <c r="E42" s="35" t="s">
        <v>59</v>
      </c>
      <c r="F42" s="44"/>
      <c r="G42" s="36"/>
      <c r="H42" s="36"/>
      <c r="I42" s="44"/>
      <c r="J42" s="36"/>
      <c r="K42" s="36"/>
      <c r="L42" s="36"/>
      <c r="M42" s="36"/>
      <c r="N42" s="36"/>
      <c r="O42" s="36"/>
      <c r="P42" s="36"/>
      <c r="Q42" s="36"/>
      <c r="R42" s="54">
        <f t="shared" si="0"/>
        <v>0</v>
      </c>
    </row>
    <row r="43" spans="2:18" x14ac:dyDescent="0.25">
      <c r="B43" s="33" t="s">
        <v>18</v>
      </c>
      <c r="C43" s="34" t="s">
        <v>29</v>
      </c>
      <c r="D43" s="33">
        <v>211506</v>
      </c>
      <c r="E43" s="35" t="s">
        <v>8</v>
      </c>
      <c r="F43" s="44">
        <v>40666.879999999997</v>
      </c>
      <c r="G43" s="36">
        <v>40666.879999999997</v>
      </c>
      <c r="H43" s="36">
        <v>40666.879999999997</v>
      </c>
      <c r="I43" s="44">
        <v>37489.83</v>
      </c>
      <c r="J43" s="36">
        <v>37489.83</v>
      </c>
      <c r="K43" s="36">
        <v>37489.83</v>
      </c>
      <c r="L43" s="36">
        <v>38054.18</v>
      </c>
      <c r="M43" s="36"/>
      <c r="N43" s="36"/>
      <c r="O43" s="36"/>
      <c r="P43" s="36"/>
      <c r="Q43" s="36"/>
      <c r="R43" s="54">
        <f t="shared" si="0"/>
        <v>272524.31</v>
      </c>
    </row>
    <row r="44" spans="2:18" x14ac:dyDescent="0.25">
      <c r="B44" s="33" t="s">
        <v>18</v>
      </c>
      <c r="C44" s="34" t="s">
        <v>29</v>
      </c>
      <c r="D44" s="33">
        <v>211507</v>
      </c>
      <c r="E44" s="35" t="s">
        <v>9</v>
      </c>
      <c r="F44" s="44">
        <v>15360.08</v>
      </c>
      <c r="G44" s="36">
        <v>15360.08</v>
      </c>
      <c r="H44" s="36">
        <v>15360.08</v>
      </c>
      <c r="I44" s="44">
        <v>14216.34</v>
      </c>
      <c r="J44" s="36">
        <v>14216.34</v>
      </c>
      <c r="K44" s="36">
        <v>14216.34</v>
      </c>
      <c r="L44" s="36">
        <v>14419.51</v>
      </c>
      <c r="M44" s="36"/>
      <c r="N44" s="36"/>
      <c r="O44" s="36"/>
      <c r="P44" s="36"/>
      <c r="Q44" s="36"/>
      <c r="R44" s="54">
        <f t="shared" si="0"/>
        <v>103148.76999999999</v>
      </c>
    </row>
    <row r="45" spans="2:18" x14ac:dyDescent="0.25">
      <c r="B45" s="33" t="s">
        <v>18</v>
      </c>
      <c r="C45" s="34" t="s">
        <v>27</v>
      </c>
      <c r="D45" s="33">
        <v>211508</v>
      </c>
      <c r="E45" s="35" t="s">
        <v>10</v>
      </c>
      <c r="F45" s="44"/>
      <c r="G45" s="36"/>
      <c r="H45" s="36">
        <v>1844.7</v>
      </c>
      <c r="I45" s="44"/>
      <c r="J45" s="36"/>
      <c r="K45" s="36"/>
      <c r="L45" s="36">
        <v>2587.0100000000002</v>
      </c>
      <c r="M45" s="36"/>
      <c r="N45" s="36"/>
      <c r="O45" s="36"/>
      <c r="P45" s="36"/>
      <c r="Q45" s="36"/>
      <c r="R45" s="54">
        <f t="shared" si="0"/>
        <v>4431.71</v>
      </c>
    </row>
    <row r="46" spans="2:18" x14ac:dyDescent="0.25">
      <c r="B46" s="33" t="s">
        <v>18</v>
      </c>
      <c r="C46" s="34" t="s">
        <v>27</v>
      </c>
      <c r="D46" s="33">
        <v>211509</v>
      </c>
      <c r="E46" s="35" t="s">
        <v>152</v>
      </c>
      <c r="F46" s="44"/>
      <c r="G46" s="36"/>
      <c r="H46" s="36"/>
      <c r="I46" s="44"/>
      <c r="J46" s="36"/>
      <c r="K46" s="36"/>
      <c r="L46" s="36"/>
      <c r="M46" s="36"/>
      <c r="N46" s="36"/>
      <c r="O46" s="36"/>
      <c r="P46" s="36"/>
      <c r="Q46" s="36"/>
      <c r="R46" s="54">
        <f t="shared" si="0"/>
        <v>0</v>
      </c>
    </row>
    <row r="47" spans="2:18" x14ac:dyDescent="0.25">
      <c r="B47" s="33" t="s">
        <v>18</v>
      </c>
      <c r="C47" s="34" t="s">
        <v>28</v>
      </c>
      <c r="D47" s="33">
        <v>211604</v>
      </c>
      <c r="E47" s="35" t="s">
        <v>176</v>
      </c>
      <c r="F47" s="44"/>
      <c r="G47" s="36"/>
      <c r="H47" s="36">
        <v>132.53</v>
      </c>
      <c r="I47" s="44"/>
      <c r="J47" s="36"/>
      <c r="K47" s="36"/>
      <c r="L47" s="36"/>
      <c r="M47" s="36"/>
      <c r="N47" s="36"/>
      <c r="O47" s="36"/>
      <c r="P47" s="36"/>
      <c r="Q47" s="36"/>
      <c r="R47" s="54"/>
    </row>
    <row r="48" spans="2:18" x14ac:dyDescent="0.25">
      <c r="B48" s="33" t="s">
        <v>18</v>
      </c>
      <c r="C48" s="34" t="s">
        <v>65</v>
      </c>
      <c r="D48" s="33">
        <v>211512</v>
      </c>
      <c r="E48" s="35" t="s">
        <v>99</v>
      </c>
      <c r="F48" s="44"/>
      <c r="G48" s="36"/>
      <c r="H48" s="36"/>
      <c r="I48" s="44"/>
      <c r="J48" s="36"/>
      <c r="K48" s="36"/>
      <c r="L48" s="36"/>
      <c r="M48" s="36"/>
      <c r="N48" s="36"/>
      <c r="O48" s="36"/>
      <c r="P48" s="36"/>
      <c r="Q48" s="36"/>
      <c r="R48" s="54">
        <f t="shared" si="0"/>
        <v>0</v>
      </c>
    </row>
    <row r="49" spans="2:18" x14ac:dyDescent="0.25">
      <c r="B49" s="33" t="s">
        <v>18</v>
      </c>
      <c r="C49" s="34" t="s">
        <v>27</v>
      </c>
      <c r="D49" s="33">
        <v>211550</v>
      </c>
      <c r="E49" s="35" t="s">
        <v>11</v>
      </c>
      <c r="F49" s="44">
        <v>307.8</v>
      </c>
      <c r="G49" s="36">
        <v>14426</v>
      </c>
      <c r="H49" s="36"/>
      <c r="I49" s="44"/>
      <c r="J49" s="36"/>
      <c r="K49" s="36">
        <v>10176.26</v>
      </c>
      <c r="L49" s="36"/>
      <c r="M49" s="36"/>
      <c r="N49" s="36"/>
      <c r="O49" s="36"/>
      <c r="P49" s="36"/>
      <c r="Q49" s="36"/>
      <c r="R49" s="54">
        <f t="shared" si="0"/>
        <v>24910.059999999998</v>
      </c>
    </row>
    <row r="50" spans="2:18" x14ac:dyDescent="0.25">
      <c r="B50" s="33" t="s">
        <v>18</v>
      </c>
      <c r="C50" s="34" t="s">
        <v>83</v>
      </c>
      <c r="D50" s="33">
        <v>211903</v>
      </c>
      <c r="E50" s="35" t="s">
        <v>3</v>
      </c>
      <c r="F50" s="44"/>
      <c r="G50" s="36"/>
      <c r="H50" s="36"/>
      <c r="I50" s="44"/>
      <c r="J50" s="36"/>
      <c r="K50" s="36"/>
      <c r="L50" s="36"/>
      <c r="M50" s="36"/>
      <c r="N50" s="36"/>
      <c r="O50" s="36"/>
      <c r="P50" s="36"/>
      <c r="Q50" s="36"/>
      <c r="R50" s="54">
        <f t="shared" si="0"/>
        <v>0</v>
      </c>
    </row>
    <row r="51" spans="2:18" x14ac:dyDescent="0.25">
      <c r="B51" s="33" t="s">
        <v>18</v>
      </c>
      <c r="C51" s="34" t="s">
        <v>30</v>
      </c>
      <c r="D51" s="33">
        <v>211913</v>
      </c>
      <c r="E51" s="35" t="s">
        <v>12</v>
      </c>
      <c r="F51" s="44">
        <v>56764</v>
      </c>
      <c r="G51" s="36">
        <v>57185</v>
      </c>
      <c r="H51" s="36">
        <v>57185</v>
      </c>
      <c r="I51" s="44">
        <v>57185</v>
      </c>
      <c r="J51" s="36">
        <v>57251</v>
      </c>
      <c r="K51" s="36">
        <v>57251</v>
      </c>
      <c r="L51" s="36">
        <v>57251</v>
      </c>
      <c r="M51" s="36"/>
      <c r="N51" s="36"/>
      <c r="O51" s="36"/>
      <c r="P51" s="36"/>
      <c r="Q51" s="36"/>
      <c r="R51" s="54">
        <f t="shared" si="0"/>
        <v>400072</v>
      </c>
    </row>
    <row r="52" spans="2:18" x14ac:dyDescent="0.25">
      <c r="B52" s="33" t="s">
        <v>18</v>
      </c>
      <c r="C52" s="34" t="s">
        <v>65</v>
      </c>
      <c r="D52" s="33">
        <v>211915</v>
      </c>
      <c r="E52" s="35" t="s">
        <v>100</v>
      </c>
      <c r="F52" s="44"/>
      <c r="G52" s="36"/>
      <c r="H52" s="36"/>
      <c r="I52" s="44"/>
      <c r="J52" s="36"/>
      <c r="K52" s="36"/>
      <c r="L52" s="36"/>
      <c r="M52" s="36"/>
      <c r="N52" s="36"/>
      <c r="O52" s="36"/>
      <c r="P52" s="36"/>
      <c r="Q52" s="36"/>
      <c r="R52" s="54">
        <f t="shared" si="0"/>
        <v>0</v>
      </c>
    </row>
    <row r="53" spans="2:18" x14ac:dyDescent="0.25">
      <c r="B53" s="33" t="s">
        <v>18</v>
      </c>
      <c r="C53" s="34" t="s">
        <v>83</v>
      </c>
      <c r="D53" s="33">
        <v>211920</v>
      </c>
      <c r="E53" s="35" t="s">
        <v>161</v>
      </c>
      <c r="F53" s="44"/>
      <c r="G53" s="36"/>
      <c r="H53" s="140"/>
      <c r="I53" s="44">
        <v>64958</v>
      </c>
      <c r="J53" s="36">
        <v>1718.36</v>
      </c>
      <c r="K53" s="36">
        <v>2949.85</v>
      </c>
      <c r="L53" s="36">
        <v>8538.7999999999993</v>
      </c>
      <c r="M53" s="36"/>
      <c r="N53" s="36"/>
      <c r="O53" s="36"/>
      <c r="P53" s="36"/>
      <c r="Q53" s="36"/>
      <c r="R53" s="54">
        <f t="shared" si="0"/>
        <v>78165.010000000009</v>
      </c>
    </row>
    <row r="54" spans="2:18" x14ac:dyDescent="0.25">
      <c r="B54" s="33" t="s">
        <v>18</v>
      </c>
      <c r="C54" s="138" t="s">
        <v>158</v>
      </c>
      <c r="D54" s="33">
        <v>211925</v>
      </c>
      <c r="E54" s="137" t="s">
        <v>165</v>
      </c>
      <c r="F54" s="136"/>
      <c r="G54" s="165"/>
      <c r="H54" s="140"/>
      <c r="I54" s="134"/>
      <c r="J54" s="36"/>
      <c r="K54" s="135"/>
      <c r="L54" s="36"/>
      <c r="M54" s="135"/>
      <c r="N54" s="36"/>
      <c r="O54" s="135"/>
      <c r="P54" s="36"/>
      <c r="Q54" s="36"/>
      <c r="R54" s="54">
        <f t="shared" si="0"/>
        <v>0</v>
      </c>
    </row>
    <row r="55" spans="2:18" x14ac:dyDescent="0.25">
      <c r="B55" s="33" t="s">
        <v>18</v>
      </c>
      <c r="C55" s="34" t="s">
        <v>31</v>
      </c>
      <c r="D55" s="33">
        <v>211940</v>
      </c>
      <c r="E55" s="35" t="s">
        <v>144</v>
      </c>
      <c r="F55" s="163">
        <v>27593.81</v>
      </c>
      <c r="G55" s="166">
        <v>32612.75</v>
      </c>
      <c r="H55" s="36">
        <v>32502.67</v>
      </c>
      <c r="I55" s="169">
        <v>38690.86</v>
      </c>
      <c r="J55" s="163">
        <v>45261.759999999995</v>
      </c>
      <c r="K55" s="166">
        <v>48231.95</v>
      </c>
      <c r="L55" s="166">
        <v>34675.74</v>
      </c>
      <c r="M55" s="81"/>
      <c r="N55" s="54"/>
      <c r="O55" s="81"/>
      <c r="P55" s="36"/>
      <c r="Q55" s="36"/>
      <c r="R55" s="54">
        <f t="shared" si="0"/>
        <v>259569.53999999998</v>
      </c>
    </row>
    <row r="56" spans="2:18" x14ac:dyDescent="0.25">
      <c r="B56" s="33" t="s">
        <v>18</v>
      </c>
      <c r="C56" s="34" t="s">
        <v>32</v>
      </c>
      <c r="D56" s="33">
        <v>211940</v>
      </c>
      <c r="E56" s="35" t="s">
        <v>145</v>
      </c>
      <c r="F56" s="164">
        <v>46201.36</v>
      </c>
      <c r="G56" s="166">
        <v>31008.67</v>
      </c>
      <c r="H56" s="66">
        <v>36008.639999999999</v>
      </c>
      <c r="I56" s="44">
        <v>41008.639999999999</v>
      </c>
      <c r="J56" s="163">
        <v>46295.6</v>
      </c>
      <c r="K56" s="166">
        <v>92249.19</v>
      </c>
      <c r="L56" s="182">
        <v>64470.93</v>
      </c>
      <c r="M56" s="36"/>
      <c r="N56" s="122"/>
      <c r="O56" s="81"/>
      <c r="P56" s="36"/>
      <c r="Q56" s="36"/>
      <c r="R56" s="54">
        <f t="shared" si="0"/>
        <v>357243.02999999997</v>
      </c>
    </row>
    <row r="57" spans="2:18" x14ac:dyDescent="0.25">
      <c r="B57" s="33" t="s">
        <v>18</v>
      </c>
      <c r="C57" s="34" t="s">
        <v>52</v>
      </c>
      <c r="D57" s="33">
        <v>211940</v>
      </c>
      <c r="E57" s="35" t="s">
        <v>146</v>
      </c>
      <c r="F57" s="164">
        <v>42328.4</v>
      </c>
      <c r="G57" s="166">
        <v>32152.639999999999</v>
      </c>
      <c r="H57" s="140">
        <v>31008.67</v>
      </c>
      <c r="I57" s="169">
        <v>46038.11</v>
      </c>
      <c r="J57" s="163">
        <v>46008.67</v>
      </c>
      <c r="K57" s="166">
        <v>46052.85</v>
      </c>
      <c r="L57" s="166">
        <v>37200</v>
      </c>
      <c r="M57" s="82"/>
      <c r="N57" s="122"/>
      <c r="O57" s="81"/>
      <c r="P57" s="36"/>
      <c r="Q57" s="36"/>
      <c r="R57" s="54">
        <f t="shared" si="0"/>
        <v>280789.33999999997</v>
      </c>
    </row>
    <row r="58" spans="2:18" x14ac:dyDescent="0.25">
      <c r="B58" s="33" t="s">
        <v>18</v>
      </c>
      <c r="C58" s="34" t="s">
        <v>53</v>
      </c>
      <c r="D58" s="33">
        <v>211940</v>
      </c>
      <c r="E58" s="35" t="s">
        <v>147</v>
      </c>
      <c r="F58" s="164">
        <v>38600</v>
      </c>
      <c r="G58" s="166">
        <v>48573</v>
      </c>
      <c r="H58" s="140">
        <v>53541.84</v>
      </c>
      <c r="I58" s="169">
        <v>84580.160000000003</v>
      </c>
      <c r="J58" s="163">
        <v>50526.6</v>
      </c>
      <c r="K58" s="166">
        <v>54403.520000000004</v>
      </c>
      <c r="L58" s="166">
        <v>113326.8</v>
      </c>
      <c r="M58" s="81"/>
      <c r="N58" s="122"/>
      <c r="O58" s="81"/>
      <c r="P58" s="36"/>
      <c r="Q58" s="36"/>
      <c r="R58" s="54">
        <f t="shared" si="0"/>
        <v>443551.92</v>
      </c>
    </row>
    <row r="59" spans="2:18" x14ac:dyDescent="0.25">
      <c r="B59" s="33" t="s">
        <v>18</v>
      </c>
      <c r="C59" s="34" t="s">
        <v>48</v>
      </c>
      <c r="D59" s="33">
        <v>211945</v>
      </c>
      <c r="E59" s="35" t="s">
        <v>50</v>
      </c>
      <c r="F59" s="65"/>
      <c r="G59" s="36"/>
      <c r="H59" s="36"/>
      <c r="I59" s="68"/>
      <c r="J59" s="36"/>
      <c r="K59" s="36"/>
      <c r="L59" s="36"/>
      <c r="M59" s="81"/>
      <c r="N59" s="122"/>
      <c r="O59" s="81"/>
      <c r="P59" s="36"/>
      <c r="Q59" s="36"/>
      <c r="R59" s="54"/>
    </row>
    <row r="60" spans="2:18" x14ac:dyDescent="0.25">
      <c r="B60" s="33" t="s">
        <v>18</v>
      </c>
      <c r="C60" s="34" t="s">
        <v>48</v>
      </c>
      <c r="D60" s="33">
        <v>211946</v>
      </c>
      <c r="E60" s="35" t="s">
        <v>172</v>
      </c>
      <c r="F60" s="44">
        <v>922.46</v>
      </c>
      <c r="G60" s="36">
        <v>15275.8</v>
      </c>
      <c r="H60" s="36"/>
      <c r="I60" s="44">
        <v>2177</v>
      </c>
      <c r="J60" s="36"/>
      <c r="K60" s="36">
        <v>752.85</v>
      </c>
      <c r="L60" s="36">
        <v>511.2</v>
      </c>
      <c r="M60" s="36"/>
      <c r="N60" s="36"/>
      <c r="O60" s="36"/>
      <c r="P60" s="36"/>
      <c r="Q60" s="36"/>
      <c r="R60" s="54">
        <f>SUM(H60:Q60)</f>
        <v>3441.0499999999997</v>
      </c>
    </row>
    <row r="61" spans="2:18" x14ac:dyDescent="0.25">
      <c r="B61" s="33" t="s">
        <v>18</v>
      </c>
      <c r="C61" s="34" t="s">
        <v>158</v>
      </c>
      <c r="D61" s="33">
        <v>211947</v>
      </c>
      <c r="E61" s="35" t="s">
        <v>155</v>
      </c>
      <c r="F61" s="44">
        <v>145722.32999999999</v>
      </c>
      <c r="G61" s="36">
        <v>1434272.49</v>
      </c>
      <c r="H61" s="36">
        <v>723923.2</v>
      </c>
      <c r="I61" s="44">
        <v>113171.68</v>
      </c>
      <c r="J61" s="36">
        <v>397351.71</v>
      </c>
      <c r="K61" s="36">
        <v>429396.17</v>
      </c>
      <c r="L61" s="36">
        <v>257309.04</v>
      </c>
      <c r="M61" s="36"/>
      <c r="N61" s="36"/>
      <c r="O61" s="36"/>
      <c r="P61" s="36"/>
      <c r="Q61" s="36"/>
      <c r="R61" s="54">
        <f t="shared" si="0"/>
        <v>3501146.62</v>
      </c>
    </row>
    <row r="62" spans="2:18" x14ac:dyDescent="0.25">
      <c r="B62" s="33" t="s">
        <v>18</v>
      </c>
      <c r="C62" s="34" t="s">
        <v>33</v>
      </c>
      <c r="D62" s="33">
        <v>214301</v>
      </c>
      <c r="E62" s="35" t="s">
        <v>13</v>
      </c>
      <c r="F62" s="44"/>
      <c r="G62" s="36"/>
      <c r="H62" s="36"/>
      <c r="I62" s="44"/>
      <c r="J62" s="36"/>
      <c r="K62" s="36"/>
      <c r="L62" s="36"/>
      <c r="M62" s="36"/>
      <c r="N62" s="36"/>
      <c r="O62" s="36"/>
      <c r="P62" s="36"/>
      <c r="Q62" s="36"/>
      <c r="R62" s="54">
        <f t="shared" si="0"/>
        <v>0</v>
      </c>
    </row>
    <row r="63" spans="2:18" x14ac:dyDescent="0.25">
      <c r="B63" s="33" t="s">
        <v>18</v>
      </c>
      <c r="C63" s="34" t="s">
        <v>33</v>
      </c>
      <c r="D63" s="33">
        <v>214305</v>
      </c>
      <c r="E63" s="35" t="s">
        <v>153</v>
      </c>
      <c r="F63" s="44">
        <v>9250</v>
      </c>
      <c r="G63" s="36">
        <v>9250</v>
      </c>
      <c r="H63" s="36">
        <v>9250</v>
      </c>
      <c r="I63" s="44">
        <v>9250</v>
      </c>
      <c r="J63" s="36">
        <v>9250</v>
      </c>
      <c r="K63" s="36">
        <v>9250</v>
      </c>
      <c r="L63" s="36">
        <v>9250</v>
      </c>
      <c r="M63" s="36"/>
      <c r="N63" s="36"/>
      <c r="O63" s="36"/>
      <c r="P63" s="36"/>
      <c r="Q63" s="36"/>
      <c r="R63" s="54">
        <f t="shared" si="0"/>
        <v>64750</v>
      </c>
    </row>
    <row r="64" spans="2:18" x14ac:dyDescent="0.25">
      <c r="B64" s="33" t="s">
        <v>18</v>
      </c>
      <c r="C64" s="34" t="s">
        <v>33</v>
      </c>
      <c r="D64" s="33">
        <v>214307</v>
      </c>
      <c r="E64" s="35" t="s">
        <v>164</v>
      </c>
      <c r="F64" s="44">
        <v>27719.98</v>
      </c>
      <c r="G64" s="36">
        <v>27719.98</v>
      </c>
      <c r="H64" s="36">
        <v>27719.98</v>
      </c>
      <c r="I64" s="44">
        <v>27719.98</v>
      </c>
      <c r="J64" s="36">
        <v>27719.98</v>
      </c>
      <c r="K64" s="36">
        <v>27719.98</v>
      </c>
      <c r="L64" s="36">
        <v>27719.98</v>
      </c>
      <c r="M64" s="36"/>
      <c r="N64" s="36"/>
      <c r="O64" s="36"/>
      <c r="P64" s="36"/>
      <c r="Q64" s="36"/>
      <c r="R64" s="54">
        <f t="shared" si="0"/>
        <v>194039.86000000002</v>
      </c>
    </row>
    <row r="65" spans="2:18" x14ac:dyDescent="0.25">
      <c r="B65" s="33" t="s">
        <v>18</v>
      </c>
      <c r="C65" s="34" t="s">
        <v>48</v>
      </c>
      <c r="D65" s="33">
        <v>333101</v>
      </c>
      <c r="E65" s="35" t="s">
        <v>14</v>
      </c>
      <c r="F65" s="44"/>
      <c r="G65" s="36">
        <v>560.26</v>
      </c>
      <c r="H65" s="36">
        <v>1120.53</v>
      </c>
      <c r="I65" s="44"/>
      <c r="J65" s="36">
        <v>517.04999999999995</v>
      </c>
      <c r="K65" s="36">
        <v>1145.31</v>
      </c>
      <c r="L65" s="36"/>
      <c r="M65" s="36"/>
      <c r="N65" s="36"/>
      <c r="O65" s="36"/>
      <c r="P65" s="36"/>
      <c r="Q65" s="36"/>
      <c r="R65" s="54">
        <f t="shared" si="0"/>
        <v>3343.15</v>
      </c>
    </row>
    <row r="66" spans="2:18" x14ac:dyDescent="0.25">
      <c r="B66" s="33" t="s">
        <v>18</v>
      </c>
      <c r="C66" s="34" t="s">
        <v>48</v>
      </c>
      <c r="D66" s="33">
        <v>333102</v>
      </c>
      <c r="E66" s="35" t="s">
        <v>15</v>
      </c>
      <c r="F66" s="44"/>
      <c r="G66" s="36"/>
      <c r="H66" s="36"/>
      <c r="I66" s="44"/>
      <c r="J66" s="36"/>
      <c r="K66" s="36"/>
      <c r="L66" s="36"/>
      <c r="M66" s="36"/>
      <c r="N66" s="36"/>
      <c r="O66" s="36"/>
      <c r="P66" s="36"/>
      <c r="Q66" s="36"/>
      <c r="R66" s="54"/>
    </row>
    <row r="67" spans="2:18" x14ac:dyDescent="0.25">
      <c r="B67" s="33" t="s">
        <v>18</v>
      </c>
      <c r="C67" s="34" t="s">
        <v>48</v>
      </c>
      <c r="D67" s="33">
        <v>333107</v>
      </c>
      <c r="E67" s="35" t="s">
        <v>113</v>
      </c>
      <c r="F67" s="44">
        <v>112.43</v>
      </c>
      <c r="G67" s="36">
        <v>672.47</v>
      </c>
      <c r="H67" s="36">
        <v>75.95</v>
      </c>
      <c r="I67" s="44"/>
      <c r="J67" s="36"/>
      <c r="K67" s="36">
        <v>42.09</v>
      </c>
      <c r="L67" s="36">
        <v>89.76</v>
      </c>
      <c r="M67" s="36"/>
      <c r="N67" s="36"/>
      <c r="O67" s="36"/>
      <c r="P67" s="36"/>
      <c r="Q67" s="36"/>
      <c r="R67" s="54">
        <f t="shared" si="0"/>
        <v>992.70000000000016</v>
      </c>
    </row>
    <row r="68" spans="2:18" x14ac:dyDescent="0.25">
      <c r="B68" s="33" t="s">
        <v>18</v>
      </c>
      <c r="C68" s="34" t="s">
        <v>48</v>
      </c>
      <c r="D68" s="33">
        <v>333108</v>
      </c>
      <c r="E68" s="35" t="s">
        <v>16</v>
      </c>
      <c r="F68" s="44">
        <v>32.5</v>
      </c>
      <c r="G68" s="36">
        <v>37.25</v>
      </c>
      <c r="H68" s="36">
        <v>34.75</v>
      </c>
      <c r="I68" s="44">
        <v>35.75</v>
      </c>
      <c r="J68" s="36">
        <v>38.75</v>
      </c>
      <c r="K68" s="36">
        <v>41.75</v>
      </c>
      <c r="L68" s="36">
        <v>34.75</v>
      </c>
      <c r="M68" s="36"/>
      <c r="N68" s="36"/>
      <c r="O68" s="36"/>
      <c r="P68" s="36"/>
      <c r="Q68" s="36"/>
      <c r="R68" s="54">
        <f t="shared" si="0"/>
        <v>255.5</v>
      </c>
    </row>
    <row r="69" spans="2:18" x14ac:dyDescent="0.25">
      <c r="B69" s="33" t="s">
        <v>18</v>
      </c>
      <c r="C69" s="34" t="s">
        <v>48</v>
      </c>
      <c r="D69" s="33">
        <v>333111</v>
      </c>
      <c r="E69" s="35" t="s">
        <v>175</v>
      </c>
      <c r="F69" s="44"/>
      <c r="G69" s="36">
        <v>48</v>
      </c>
      <c r="H69" s="36"/>
      <c r="I69" s="44"/>
      <c r="J69" s="36"/>
      <c r="K69" s="36"/>
      <c r="L69" s="36"/>
      <c r="M69" s="36"/>
      <c r="N69" s="36"/>
      <c r="O69" s="36"/>
      <c r="P69" s="36"/>
      <c r="Q69" s="36"/>
      <c r="R69" s="54"/>
    </row>
    <row r="70" spans="2:18" x14ac:dyDescent="0.25">
      <c r="B70" s="33" t="s">
        <v>18</v>
      </c>
      <c r="C70" s="34" t="s">
        <v>158</v>
      </c>
      <c r="D70" s="33">
        <v>333117</v>
      </c>
      <c r="E70" s="35" t="s">
        <v>154</v>
      </c>
      <c r="F70" s="44">
        <v>6275.09</v>
      </c>
      <c r="G70" s="36">
        <v>6319.96</v>
      </c>
      <c r="H70" s="36">
        <v>5163.8100000000004</v>
      </c>
      <c r="I70" s="44">
        <v>5549.79</v>
      </c>
      <c r="J70" s="36">
        <v>5404.08</v>
      </c>
      <c r="K70" s="36">
        <v>4856.43</v>
      </c>
      <c r="L70" s="36">
        <v>4696.8100000000004</v>
      </c>
      <c r="M70" s="36"/>
      <c r="N70" s="36"/>
      <c r="O70" s="36"/>
      <c r="P70" s="36"/>
      <c r="Q70" s="36"/>
      <c r="R70" s="54">
        <f t="shared" si="0"/>
        <v>38265.97</v>
      </c>
    </row>
    <row r="71" spans="2:18" x14ac:dyDescent="0.25">
      <c r="B71" s="33" t="s">
        <v>18</v>
      </c>
      <c r="C71" s="34" t="s">
        <v>48</v>
      </c>
      <c r="D71" s="33">
        <v>333205</v>
      </c>
      <c r="E71" s="35" t="s">
        <v>114</v>
      </c>
      <c r="F71" s="44"/>
      <c r="G71" s="36"/>
      <c r="H71" s="36"/>
      <c r="I71" s="44"/>
      <c r="J71" s="36"/>
      <c r="K71" s="36"/>
      <c r="L71" s="36"/>
      <c r="M71" s="36"/>
      <c r="N71" s="36"/>
      <c r="O71" s="36"/>
      <c r="P71" s="36"/>
      <c r="Q71" s="36"/>
      <c r="R71" s="54">
        <f t="shared" ref="R71:R72" si="1">SUM(F71:Q71)</f>
        <v>0</v>
      </c>
    </row>
    <row r="72" spans="2:18" x14ac:dyDescent="0.25">
      <c r="B72" s="37" t="s">
        <v>18</v>
      </c>
      <c r="C72" s="130" t="s">
        <v>48</v>
      </c>
      <c r="D72" s="37">
        <v>333212</v>
      </c>
      <c r="E72" s="38" t="s">
        <v>51</v>
      </c>
      <c r="F72" s="45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126">
        <f t="shared" si="1"/>
        <v>0</v>
      </c>
    </row>
    <row r="73" spans="2:18" x14ac:dyDescent="0.25">
      <c r="D73" s="1"/>
      <c r="E73" s="1"/>
      <c r="G73" s="2"/>
      <c r="K73" s="2"/>
      <c r="L73" s="46"/>
    </row>
    <row r="74" spans="2:18" x14ac:dyDescent="0.25">
      <c r="D74" s="1"/>
      <c r="E74" s="1"/>
      <c r="G74" s="46"/>
      <c r="K74" s="2"/>
    </row>
    <row r="75" spans="2:18" ht="15.75" thickBot="1" x14ac:dyDescent="0.3">
      <c r="D75" s="1"/>
      <c r="E75" s="1"/>
      <c r="G75" s="2"/>
      <c r="K75" s="2"/>
    </row>
    <row r="76" spans="2:18" ht="19.5" thickBot="1" x14ac:dyDescent="0.35">
      <c r="D76" s="131">
        <v>2026</v>
      </c>
      <c r="E76" s="47" t="s">
        <v>20</v>
      </c>
      <c r="F76" s="48">
        <v>233299.47</v>
      </c>
      <c r="G76" s="49">
        <v>50910.82</v>
      </c>
      <c r="H76" s="49">
        <v>383503.11</v>
      </c>
      <c r="I76" s="49">
        <v>700990.97</v>
      </c>
      <c r="J76" s="49">
        <v>278186.25</v>
      </c>
      <c r="K76" s="49">
        <v>169752.44</v>
      </c>
      <c r="L76" s="49">
        <v>99726.44</v>
      </c>
      <c r="M76" s="49"/>
      <c r="N76" s="49"/>
      <c r="O76" s="49"/>
      <c r="P76" s="49"/>
      <c r="Q76" s="49"/>
      <c r="R76" s="48">
        <f>Q77-F76</f>
        <v>-233299.47</v>
      </c>
    </row>
    <row r="77" spans="2:18" x14ac:dyDescent="0.25">
      <c r="E77" s="50" t="s">
        <v>19</v>
      </c>
      <c r="F77" s="51">
        <v>50910.82</v>
      </c>
      <c r="G77" s="52">
        <v>383503.11</v>
      </c>
      <c r="H77" s="52">
        <v>700990.97</v>
      </c>
      <c r="I77" s="161">
        <v>278186.25</v>
      </c>
      <c r="J77" s="161">
        <v>169752.44</v>
      </c>
      <c r="K77" s="161">
        <v>99726.44</v>
      </c>
      <c r="L77" s="52">
        <v>13915.06</v>
      </c>
      <c r="M77" s="52"/>
      <c r="N77" s="52"/>
      <c r="O77" s="52"/>
      <c r="P77" s="52"/>
      <c r="Q77" s="52"/>
      <c r="R77" s="52"/>
    </row>
    <row r="78" spans="2:18" x14ac:dyDescent="0.25">
      <c r="E78" s="69" t="s">
        <v>21</v>
      </c>
      <c r="F78" s="70">
        <f>F77-F76</f>
        <v>-182388.65</v>
      </c>
      <c r="G78" s="70">
        <f>G77-G76</f>
        <v>332592.28999999998</v>
      </c>
      <c r="H78" s="70">
        <f t="shared" ref="H78" si="2">H77-H76</f>
        <v>317487.86</v>
      </c>
      <c r="I78" s="70">
        <f t="shared" ref="I78:N78" si="3">I77-I76</f>
        <v>-422804.72</v>
      </c>
      <c r="J78" s="70">
        <f t="shared" si="3"/>
        <v>-108433.81</v>
      </c>
      <c r="K78" s="70">
        <f t="shared" si="3"/>
        <v>-70026</v>
      </c>
      <c r="L78" s="70">
        <f t="shared" si="3"/>
        <v>-85811.38</v>
      </c>
      <c r="M78" s="70">
        <f t="shared" si="3"/>
        <v>0</v>
      </c>
      <c r="N78" s="70">
        <f t="shared" si="3"/>
        <v>0</v>
      </c>
      <c r="O78" s="70">
        <f>O77-O76</f>
        <v>0</v>
      </c>
      <c r="P78" s="70">
        <f t="shared" ref="P78:Q78" si="4">P77-P76</f>
        <v>0</v>
      </c>
      <c r="Q78" s="70">
        <f t="shared" si="4"/>
        <v>0</v>
      </c>
      <c r="R78" s="70"/>
    </row>
    <row r="79" spans="2:18" x14ac:dyDescent="0.25">
      <c r="E79" s="50" t="s">
        <v>22</v>
      </c>
      <c r="F79" s="51">
        <f>SUMIF($B$3:$B$72,"ENTRADA",$F$3:$F$72)</f>
        <v>298619.84999999998</v>
      </c>
      <c r="G79" s="51">
        <f>SUMIF($B$3:$B$72,"ENTRADA",$G$3:$G$72)</f>
        <v>2877321.0600000005</v>
      </c>
      <c r="H79" s="51">
        <f>SUMIF($B$3:$B$72,"ENTRADA",$H$3:$H$72)</f>
        <v>1458324.29</v>
      </c>
      <c r="I79" s="52">
        <f>SUMIF($B$3:$B$72,"ENTRADA",$I$3:$I$72)</f>
        <v>234078.88</v>
      </c>
      <c r="J79" s="52">
        <f>SUMIF($B$3:$B$72,"ENTRADA",$J$3:$J$72)</f>
        <v>836145</v>
      </c>
      <c r="K79" s="52">
        <f>SUMIF($B$3:$B$72,"ENTRADA",$K$3:$K$72)</f>
        <v>897798.5</v>
      </c>
      <c r="L79" s="52">
        <f>SUMIF($B$3:$B$72,"ENTRADA",$L$3:$L$72)</f>
        <v>694257.18</v>
      </c>
      <c r="M79" s="52">
        <f>SUMIF($B$3:$B$72,"ENTRADA",$M$3:$M$72)</f>
        <v>0</v>
      </c>
      <c r="N79" s="52">
        <f>SUMIF($B$3:$B$72,"ENTRADA",$N$3:$N$72)</f>
        <v>0</v>
      </c>
      <c r="O79" s="52">
        <f>SUMIF($B$3:$B$72,"ENTRADA",$O$3:$O$72)</f>
        <v>0</v>
      </c>
      <c r="P79" s="52">
        <f>SUMIF($B$3:$B$72,"ENTRADA",$P$3:$P$72)</f>
        <v>0</v>
      </c>
      <c r="Q79" s="52">
        <f>SUMIF($B$3:$B$72,"ENTRADA",$Q$3:$Q$72)</f>
        <v>0</v>
      </c>
      <c r="R79" s="52"/>
    </row>
    <row r="80" spans="2:18" x14ac:dyDescent="0.25">
      <c r="E80" s="50" t="s">
        <v>23</v>
      </c>
      <c r="F80" s="51">
        <f>SUMIF($B$3:$B$72,"SAÍDA",$F$3:$F$72)</f>
        <v>481008.5</v>
      </c>
      <c r="G80" s="51">
        <f>SUMIF($B$3:$B$72,"SAÍDA",$G$3:$G$72)</f>
        <v>2544728.77</v>
      </c>
      <c r="H80" s="51">
        <f>SUMIF($B$3:$B$72,"SAÍDA",$H$3:$H$72)</f>
        <v>1140836.43</v>
      </c>
      <c r="I80" s="52">
        <f>SUMIF($B$3:$B$72,"SAÍDA",$I$3:$I$72)</f>
        <v>656883.60000000009</v>
      </c>
      <c r="J80" s="52">
        <f>SUMIF($B$3:$B$72,"SAÍDA",$J$3:$J$72)</f>
        <v>944578.80999999994</v>
      </c>
      <c r="K80" s="52">
        <f>SUMIF($B$3:$B$72,"SAÍDA",$K$3:$K$72)</f>
        <v>967824.5</v>
      </c>
      <c r="L80" s="51">
        <f>SUMIF($B$3:$B$72,"SAÍDA",$L$3:$L$72)</f>
        <v>780068.56</v>
      </c>
      <c r="M80" s="52">
        <f>SUMIF($B$3:$B$72,"SAÍDA",$M$3:$M$72)</f>
        <v>0</v>
      </c>
      <c r="N80" s="52">
        <f>SUMIF($B$3:$B$72,"SAÍDA",$N$3:$N$72)</f>
        <v>0</v>
      </c>
      <c r="O80" s="52">
        <f>SUMIF($B$3:$B$72,"SAÍDA",$O$3:$NO$72)</f>
        <v>0</v>
      </c>
      <c r="P80" s="52">
        <f>SUMIF($B$3:$B$72,"SAÍDA",$P$3:$P$72)</f>
        <v>0</v>
      </c>
      <c r="Q80" s="52">
        <f>SUMIF($B$3:$B$72,"SAÍDA",$Q$3:$Q$72)</f>
        <v>0</v>
      </c>
      <c r="R80" s="52"/>
    </row>
    <row r="81" spans="5:18" x14ac:dyDescent="0.25">
      <c r="E81" s="53" t="s">
        <v>24</v>
      </c>
      <c r="F81" s="132">
        <f>F79-F80</f>
        <v>-182388.65000000002</v>
      </c>
      <c r="G81" s="132">
        <f>G79-G80</f>
        <v>332592.2900000005</v>
      </c>
      <c r="H81" s="132">
        <f t="shared" ref="H81" si="5">H79-H80</f>
        <v>317487.8600000001</v>
      </c>
      <c r="I81" s="132">
        <f>I79-I80</f>
        <v>-422804.72000000009</v>
      </c>
      <c r="J81" s="132">
        <f>J79-J80</f>
        <v>-108433.80999999994</v>
      </c>
      <c r="K81" s="132">
        <f>K79-K80</f>
        <v>-70026</v>
      </c>
      <c r="L81" s="132">
        <f>L79-L80</f>
        <v>-85811.38</v>
      </c>
      <c r="M81" s="132">
        <f t="shared" ref="M81:N81" si="6">M79-M80</f>
        <v>0</v>
      </c>
      <c r="N81" s="132">
        <f t="shared" si="6"/>
        <v>0</v>
      </c>
      <c r="O81" s="132">
        <f>O79-O80</f>
        <v>0</v>
      </c>
      <c r="P81" s="132">
        <f t="shared" ref="P81:Q81" si="7">P79-P80</f>
        <v>0</v>
      </c>
      <c r="Q81" s="132">
        <f t="shared" si="7"/>
        <v>0</v>
      </c>
      <c r="R81" s="132"/>
    </row>
    <row r="84" spans="5:18" x14ac:dyDescent="0.25">
      <c r="F84" s="46">
        <f>F78-ANÁLISE!C39</f>
        <v>0</v>
      </c>
      <c r="G84" s="46">
        <f>G78-ANÁLISE!E39</f>
        <v>-9.9999996600672603E-3</v>
      </c>
      <c r="H84" s="2">
        <f>H78-ANÁLISE!G39</f>
        <v>0</v>
      </c>
      <c r="I84" s="2">
        <f>I78-ANÁLISE!I39</f>
        <v>0</v>
      </c>
      <c r="J84" s="2">
        <f>J78-ANÁLISE!K39</f>
        <v>0</v>
      </c>
      <c r="K84" s="81">
        <v>0</v>
      </c>
      <c r="L84" s="2">
        <f>L78-ANÁLISE!O39</f>
        <v>0</v>
      </c>
      <c r="M84" s="2">
        <f>M78-ANÁLISE!Q39</f>
        <v>0</v>
      </c>
      <c r="N84" s="2">
        <f>N81-N78</f>
        <v>0</v>
      </c>
      <c r="O84" s="2">
        <f>O81-O78</f>
        <v>0</v>
      </c>
      <c r="P84" s="2">
        <f>P81-P78</f>
        <v>0</v>
      </c>
      <c r="Q84" s="2">
        <f>Q81-Q78</f>
        <v>0</v>
      </c>
    </row>
    <row r="85" spans="5:18" x14ac:dyDescent="0.25">
      <c r="E85" s="85" t="s">
        <v>133</v>
      </c>
      <c r="F85" s="85" t="s">
        <v>121</v>
      </c>
      <c r="G85" s="86" t="s">
        <v>122</v>
      </c>
      <c r="H85" s="87" t="s">
        <v>123</v>
      </c>
      <c r="I85" s="87" t="s">
        <v>124</v>
      </c>
      <c r="J85" s="87" t="s">
        <v>125</v>
      </c>
      <c r="K85" s="87" t="s">
        <v>126</v>
      </c>
      <c r="L85" s="87" t="s">
        <v>127</v>
      </c>
      <c r="M85" s="87" t="s">
        <v>128</v>
      </c>
      <c r="N85" s="87" t="s">
        <v>129</v>
      </c>
      <c r="O85" s="87" t="s">
        <v>130</v>
      </c>
      <c r="P85" s="87" t="s">
        <v>131</v>
      </c>
      <c r="Q85" s="87" t="s">
        <v>132</v>
      </c>
    </row>
    <row r="86" spans="5:18" x14ac:dyDescent="0.25">
      <c r="E86" s="86" t="s">
        <v>118</v>
      </c>
      <c r="F86" s="83">
        <v>50657.36</v>
      </c>
      <c r="G86" s="84">
        <v>246326.12</v>
      </c>
      <c r="H86" s="52">
        <v>602746.57999999996</v>
      </c>
      <c r="I86" s="49">
        <v>276908.36</v>
      </c>
      <c r="J86" s="52">
        <v>160374.37</v>
      </c>
      <c r="K86" s="170">
        <v>90397.33</v>
      </c>
      <c r="L86" s="84">
        <v>0</v>
      </c>
      <c r="M86" s="84"/>
      <c r="N86" s="84"/>
      <c r="O86" s="84"/>
      <c r="P86" s="84"/>
      <c r="Q86" s="84"/>
    </row>
    <row r="87" spans="5:18" x14ac:dyDescent="0.25">
      <c r="E87" s="86" t="s">
        <v>120</v>
      </c>
      <c r="F87" s="83">
        <v>247.93</v>
      </c>
      <c r="G87" s="83">
        <v>137171.46</v>
      </c>
      <c r="H87" s="84">
        <v>98238.86</v>
      </c>
      <c r="I87" s="84">
        <v>1272.3599999999999</v>
      </c>
      <c r="J87" s="84">
        <v>9372.5400000000009</v>
      </c>
      <c r="K87" s="170">
        <v>9268.2999999999993</v>
      </c>
      <c r="L87" s="84">
        <v>13852.29</v>
      </c>
      <c r="M87" s="84"/>
      <c r="N87" s="84"/>
      <c r="O87" s="84"/>
      <c r="P87" s="84"/>
      <c r="Q87" s="84"/>
    </row>
    <row r="88" spans="5:18" x14ac:dyDescent="0.25">
      <c r="E88" s="86" t="s">
        <v>119</v>
      </c>
      <c r="F88" s="83">
        <v>5.53</v>
      </c>
      <c r="G88" s="84">
        <v>5.53</v>
      </c>
      <c r="H88" s="84">
        <v>5.53</v>
      </c>
      <c r="I88" s="84">
        <v>5.53</v>
      </c>
      <c r="J88" s="84">
        <v>5.53</v>
      </c>
      <c r="K88" s="170">
        <v>60.81</v>
      </c>
      <c r="L88" s="84">
        <v>62.77</v>
      </c>
      <c r="M88" s="84"/>
      <c r="N88" s="84"/>
      <c r="O88" s="84"/>
      <c r="P88" s="84"/>
      <c r="Q88" s="84"/>
    </row>
    <row r="89" spans="5:18" x14ac:dyDescent="0.25">
      <c r="E89" s="86"/>
      <c r="F89" s="167">
        <f t="shared" ref="F89:Q89" si="8">SUM(F86:F88)</f>
        <v>50910.82</v>
      </c>
      <c r="G89" s="167">
        <f t="shared" si="8"/>
        <v>383503.11</v>
      </c>
      <c r="H89" s="168">
        <f t="shared" si="8"/>
        <v>700990.97</v>
      </c>
      <c r="I89" s="168">
        <f t="shared" si="8"/>
        <v>278186.25</v>
      </c>
      <c r="J89" s="168">
        <f t="shared" si="8"/>
        <v>169752.44</v>
      </c>
      <c r="K89" s="168">
        <f t="shared" si="8"/>
        <v>99726.44</v>
      </c>
      <c r="L89" s="168">
        <f t="shared" si="8"/>
        <v>13915.060000000001</v>
      </c>
      <c r="M89" s="168">
        <f t="shared" si="8"/>
        <v>0</v>
      </c>
      <c r="N89" s="167">
        <f t="shared" si="8"/>
        <v>0</v>
      </c>
      <c r="O89" s="167">
        <f t="shared" si="8"/>
        <v>0</v>
      </c>
      <c r="P89" s="167">
        <f t="shared" si="8"/>
        <v>0</v>
      </c>
      <c r="Q89" s="167">
        <f t="shared" si="8"/>
        <v>0</v>
      </c>
    </row>
    <row r="91" spans="5:18" x14ac:dyDescent="0.25">
      <c r="F91" s="46">
        <f>F89-F77</f>
        <v>0</v>
      </c>
      <c r="G91" s="46">
        <f>G89-G77</f>
        <v>0</v>
      </c>
      <c r="H91" s="46">
        <f>H89-H77</f>
        <v>0</v>
      </c>
      <c r="I91" s="46">
        <f>I89-I77</f>
        <v>0</v>
      </c>
      <c r="J91" s="46">
        <f>J89-J77</f>
        <v>0</v>
      </c>
      <c r="K91" s="46">
        <f>K89-K77</f>
        <v>0</v>
      </c>
      <c r="L91" s="46">
        <f>L89-L77</f>
        <v>0</v>
      </c>
      <c r="M91" s="46">
        <f>M89-M77</f>
        <v>0</v>
      </c>
      <c r="N91" s="46">
        <f>N89-N77</f>
        <v>0</v>
      </c>
      <c r="O91" s="46">
        <f>O89-O77</f>
        <v>0</v>
      </c>
      <c r="P91" s="46">
        <f>P89-P77</f>
        <v>0</v>
      </c>
      <c r="Q91" s="46">
        <f>Q89-Q77</f>
        <v>0</v>
      </c>
      <c r="R91" s="46">
        <f>R89-R77</f>
        <v>0</v>
      </c>
    </row>
  </sheetData>
  <autoFilter ref="B2:R72" xr:uid="{2A416964-BAAB-49A8-B0D5-3DCA44C3D66A}"/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ANÁLISE</vt:lpstr>
      <vt:lpstr>COMPARATIVO</vt:lpstr>
      <vt:lpstr>MVTO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Lima</dc:creator>
  <cp:lastModifiedBy>DIEGO MARCEL</cp:lastModifiedBy>
  <cp:lastPrinted>2023-09-19T18:37:36Z</cp:lastPrinted>
  <dcterms:created xsi:type="dcterms:W3CDTF">2022-07-27T13:58:06Z</dcterms:created>
  <dcterms:modified xsi:type="dcterms:W3CDTF">2026-08-12T13:46:05Z</dcterms:modified>
</cp:coreProperties>
</file>